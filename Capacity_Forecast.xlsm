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ha.do/Desktop/DSS-EM_CAP_Plan/"/>
    </mc:Choice>
  </mc:AlternateContent>
  <xr:revisionPtr revIDLastSave="0" documentId="13_ncr:1_{1E325CB1-756C-8B4E-875C-19231B642BA0}" xr6:coauthVersionLast="47" xr6:coauthVersionMax="47" xr10:uidLastSave="{00000000-0000-0000-0000-000000000000}"/>
  <bookViews>
    <workbookView xWindow="220" yWindow="500" windowWidth="28420" windowHeight="17040" xr2:uid="{67F570C1-D6CA-E644-A87A-DB08FB395027}"/>
  </bookViews>
  <sheets>
    <sheet name="Projects" sheetId="2" r:id="rId1"/>
    <sheet name="LOE" sheetId="4" r:id="rId2"/>
    <sheet name="Inputs" sheetId="6" r:id="rId3"/>
    <sheet name="Year View" sheetId="5" r:id="rId4"/>
    <sheet name="Team View" sheetId="7" r:id="rId5"/>
  </sheets>
  <definedNames>
    <definedName name="firstMondayOfTheYear">Inputs!$A$2</definedName>
    <definedName name="fullCapacity">Inputs!$A$6</definedName>
    <definedName name="lowCapacity">Inputs!$C$6</definedName>
    <definedName name="midCapacity">Inputs!$B$6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17" i="7" l="1"/>
  <c r="BA17" i="7"/>
  <c r="AZ17" i="7"/>
  <c r="AY17" i="7"/>
  <c r="AX17" i="7"/>
  <c r="AW17" i="7"/>
  <c r="AV17" i="7"/>
  <c r="AU17" i="7"/>
  <c r="AT17" i="7"/>
  <c r="AS17" i="7"/>
  <c r="AR17" i="7"/>
  <c r="AQ17" i="7"/>
  <c r="AP17" i="7"/>
  <c r="AO17" i="7"/>
  <c r="AN17" i="7"/>
  <c r="AM17" i="7"/>
  <c r="AL17" i="7"/>
  <c r="AK17" i="7"/>
  <c r="AJ17" i="7"/>
  <c r="AI17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J17" i="7"/>
  <c r="I17" i="7"/>
  <c r="H17" i="7"/>
  <c r="G17" i="7"/>
  <c r="F17" i="7"/>
  <c r="E17" i="7"/>
  <c r="D17" i="7"/>
  <c r="C17" i="7"/>
  <c r="B17" i="7"/>
  <c r="BB42" i="5"/>
  <c r="BA42" i="5"/>
  <c r="AZ42" i="5"/>
  <c r="AY42" i="5"/>
  <c r="AX42" i="5"/>
  <c r="AW42" i="5"/>
  <c r="AV42" i="5"/>
  <c r="AU42" i="5"/>
  <c r="AT42" i="5"/>
  <c r="AS42" i="5"/>
  <c r="AR42" i="5"/>
  <c r="AQ42" i="5"/>
  <c r="AP42" i="5"/>
  <c r="AO42" i="5"/>
  <c r="AN42" i="5"/>
  <c r="AM42" i="5"/>
  <c r="AL42" i="5"/>
  <c r="AK42" i="5"/>
  <c r="AJ42" i="5"/>
  <c r="AI42" i="5"/>
  <c r="AH42" i="5"/>
  <c r="AG42" i="5"/>
  <c r="AF42" i="5"/>
  <c r="AE42" i="5"/>
  <c r="AD42" i="5"/>
  <c r="AC42" i="5"/>
  <c r="AB42" i="5"/>
  <c r="AA42" i="5"/>
  <c r="Z42" i="5"/>
  <c r="Y42" i="5"/>
  <c r="X42" i="5"/>
  <c r="W42" i="5"/>
  <c r="V42" i="5"/>
  <c r="U42" i="5"/>
  <c r="T42" i="5"/>
  <c r="S42" i="5"/>
  <c r="R42" i="5"/>
  <c r="Q42" i="5"/>
  <c r="P42" i="5"/>
  <c r="O42" i="5"/>
  <c r="N42" i="5"/>
  <c r="M42" i="5"/>
  <c r="L42" i="5"/>
  <c r="K42" i="5"/>
  <c r="J42" i="5"/>
  <c r="I42" i="5"/>
  <c r="H42" i="5"/>
  <c r="G42" i="5"/>
  <c r="F42" i="5"/>
  <c r="E42" i="5"/>
  <c r="D42" i="5"/>
  <c r="C42" i="5"/>
  <c r="B42" i="5"/>
  <c r="E33" i="2" l="1"/>
  <c r="D33" i="2"/>
  <c r="E26" i="2"/>
  <c r="D26" i="2"/>
  <c r="E28" i="2" l="1"/>
  <c r="D28" i="2"/>
  <c r="E35" i="2"/>
  <c r="D35" i="2"/>
  <c r="E27" i="2"/>
  <c r="D27" i="2"/>
  <c r="E22" i="2"/>
  <c r="D22" i="2"/>
  <c r="E7" i="2"/>
  <c r="D7" i="2"/>
  <c r="E29" i="2"/>
  <c r="D29" i="2"/>
  <c r="E13" i="2" l="1"/>
  <c r="D13" i="2"/>
  <c r="E8" i="2"/>
  <c r="E6" i="2"/>
  <c r="D6" i="2"/>
  <c r="E37" i="2"/>
  <c r="E38" i="2"/>
  <c r="E39" i="2"/>
  <c r="E40" i="2"/>
  <c r="E41" i="2"/>
  <c r="E42" i="2"/>
  <c r="E5" i="2"/>
  <c r="D5" i="2"/>
  <c r="E19" i="2" l="1"/>
  <c r="E23" i="2"/>
  <c r="E36" i="2"/>
  <c r="E34" i="2"/>
  <c r="E24" i="2"/>
  <c r="E30" i="2"/>
  <c r="E25" i="2"/>
  <c r="E32" i="2"/>
  <c r="E21" i="2"/>
  <c r="E31" i="2"/>
  <c r="D31" i="2"/>
  <c r="D21" i="2"/>
  <c r="D32" i="2"/>
  <c r="D30" i="2"/>
  <c r="D25" i="2"/>
  <c r="C15" i="4"/>
  <c r="C3" i="4"/>
  <c r="C4" i="4"/>
  <c r="C5" i="4"/>
  <c r="C6" i="4"/>
  <c r="C7" i="4"/>
  <c r="C8" i="4"/>
  <c r="C9" i="4"/>
  <c r="C10" i="4"/>
  <c r="C11" i="4"/>
  <c r="C12" i="4"/>
  <c r="C13" i="4"/>
  <c r="C14" i="4"/>
  <c r="C2" i="4"/>
  <c r="E10" i="2"/>
  <c r="E11" i="2"/>
  <c r="E2" i="2"/>
  <c r="E12" i="2"/>
  <c r="E18" i="2"/>
  <c r="E17" i="2"/>
  <c r="E3" i="2"/>
  <c r="E14" i="2"/>
  <c r="E15" i="2"/>
  <c r="E16" i="2"/>
  <c r="E4" i="2"/>
  <c r="E20" i="2"/>
  <c r="B5" i="7"/>
  <c r="C5" i="7" s="1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P5" i="7" s="1"/>
  <c r="Q5" i="7" s="1"/>
  <c r="R5" i="7" s="1"/>
  <c r="S5" i="7" s="1"/>
  <c r="T5" i="7" s="1"/>
  <c r="U5" i="7" s="1"/>
  <c r="V5" i="7" s="1"/>
  <c r="W5" i="7" s="1"/>
  <c r="X5" i="7" s="1"/>
  <c r="Y5" i="7" s="1"/>
  <c r="Z5" i="7" s="1"/>
  <c r="AA5" i="7" s="1"/>
  <c r="AB5" i="7" s="1"/>
  <c r="AC5" i="7" s="1"/>
  <c r="AD5" i="7" s="1"/>
  <c r="AE5" i="7" s="1"/>
  <c r="AF5" i="7" s="1"/>
  <c r="AG5" i="7" s="1"/>
  <c r="AH5" i="7" s="1"/>
  <c r="AI5" i="7" s="1"/>
  <c r="AJ5" i="7" s="1"/>
  <c r="AK5" i="7" s="1"/>
  <c r="AL5" i="7" s="1"/>
  <c r="AM5" i="7" s="1"/>
  <c r="AN5" i="7" s="1"/>
  <c r="AO5" i="7" s="1"/>
  <c r="AP5" i="7" s="1"/>
  <c r="AQ5" i="7" s="1"/>
  <c r="AR5" i="7" s="1"/>
  <c r="AS5" i="7" s="1"/>
  <c r="AT5" i="7" s="1"/>
  <c r="AU5" i="7" s="1"/>
  <c r="AV5" i="7" s="1"/>
  <c r="AW5" i="7" s="1"/>
  <c r="AX5" i="7" s="1"/>
  <c r="AY5" i="7" s="1"/>
  <c r="AZ5" i="7" s="1"/>
  <c r="BA5" i="7" s="1"/>
  <c r="BB5" i="7" s="1"/>
  <c r="C4" i="7"/>
  <c r="D4" i="7" s="1"/>
  <c r="E4" i="7" s="1"/>
  <c r="F4" i="7" s="1"/>
  <c r="G4" i="7" s="1"/>
  <c r="H4" i="7" s="1"/>
  <c r="I4" i="7" s="1"/>
  <c r="J4" i="7" s="1"/>
  <c r="K4" i="7" s="1"/>
  <c r="L4" i="7" s="1"/>
  <c r="M4" i="7" s="1"/>
  <c r="N4" i="7" s="1"/>
  <c r="O4" i="7" s="1"/>
  <c r="P4" i="7" s="1"/>
  <c r="Q4" i="7" s="1"/>
  <c r="R4" i="7" s="1"/>
  <c r="S4" i="7" s="1"/>
  <c r="T4" i="7" s="1"/>
  <c r="U4" i="7" s="1"/>
  <c r="V4" i="7" s="1"/>
  <c r="W4" i="7" s="1"/>
  <c r="X4" i="7" s="1"/>
  <c r="Y4" i="7" s="1"/>
  <c r="Z4" i="7" s="1"/>
  <c r="AA4" i="7" s="1"/>
  <c r="AB4" i="7" s="1"/>
  <c r="AC4" i="7" s="1"/>
  <c r="AD4" i="7" s="1"/>
  <c r="AE4" i="7" s="1"/>
  <c r="AF4" i="7" s="1"/>
  <c r="AG4" i="7" s="1"/>
  <c r="AH4" i="7" s="1"/>
  <c r="AI4" i="7" s="1"/>
  <c r="AJ4" i="7" s="1"/>
  <c r="AK4" i="7" s="1"/>
  <c r="AL4" i="7" s="1"/>
  <c r="AM4" i="7" s="1"/>
  <c r="AN4" i="7" s="1"/>
  <c r="AO4" i="7" s="1"/>
  <c r="AP4" i="7" s="1"/>
  <c r="AQ4" i="7" s="1"/>
  <c r="AR4" i="7" s="1"/>
  <c r="AS4" i="7" s="1"/>
  <c r="AT4" i="7" s="1"/>
  <c r="AU4" i="7" s="1"/>
  <c r="AV4" i="7" s="1"/>
  <c r="AW4" i="7" s="1"/>
  <c r="AX4" i="7" s="1"/>
  <c r="AY4" i="7" s="1"/>
  <c r="AZ4" i="7" s="1"/>
  <c r="BA4" i="7" s="1"/>
  <c r="BB4" i="7" s="1"/>
  <c r="B5" i="5"/>
  <c r="C5" i="5" s="1"/>
  <c r="D5" i="5" s="1"/>
  <c r="E5" i="5" s="1"/>
  <c r="F5" i="5" s="1"/>
  <c r="G5" i="5" s="1"/>
  <c r="H5" i="5" s="1"/>
  <c r="I5" i="5" s="1"/>
  <c r="J5" i="5" s="1"/>
  <c r="K5" i="5" s="1"/>
  <c r="L5" i="5" s="1"/>
  <c r="M5" i="5" s="1"/>
  <c r="N5" i="5" s="1"/>
  <c r="O5" i="5" s="1"/>
  <c r="P5" i="5" s="1"/>
  <c r="Q5" i="5" s="1"/>
  <c r="R5" i="5" s="1"/>
  <c r="S5" i="5" s="1"/>
  <c r="T5" i="5" s="1"/>
  <c r="U5" i="5" s="1"/>
  <c r="V5" i="5" s="1"/>
  <c r="W5" i="5" s="1"/>
  <c r="X5" i="5" s="1"/>
  <c r="Y5" i="5" s="1"/>
  <c r="Z5" i="5" s="1"/>
  <c r="AA5" i="5" s="1"/>
  <c r="AB5" i="5" s="1"/>
  <c r="AC5" i="5" s="1"/>
  <c r="AD5" i="5" s="1"/>
  <c r="AE5" i="5" s="1"/>
  <c r="AF5" i="5" s="1"/>
  <c r="AG5" i="5" s="1"/>
  <c r="AH5" i="5" s="1"/>
  <c r="AI5" i="5" s="1"/>
  <c r="AJ5" i="5" s="1"/>
  <c r="AK5" i="5" s="1"/>
  <c r="AL5" i="5" s="1"/>
  <c r="AM5" i="5" s="1"/>
  <c r="AN5" i="5" s="1"/>
  <c r="AO5" i="5" s="1"/>
  <c r="AP5" i="5" s="1"/>
  <c r="AQ5" i="5" s="1"/>
  <c r="AR5" i="5" s="1"/>
  <c r="AS5" i="5" s="1"/>
  <c r="AT5" i="5" s="1"/>
  <c r="AU5" i="5" s="1"/>
  <c r="AV5" i="5" s="1"/>
  <c r="AW5" i="5" s="1"/>
  <c r="AX5" i="5" s="1"/>
  <c r="AY5" i="5" s="1"/>
  <c r="AZ5" i="5" s="1"/>
  <c r="BA5" i="5" s="1"/>
  <c r="BB5" i="5" s="1"/>
  <c r="C4" i="5"/>
  <c r="D4" i="5" s="1"/>
  <c r="E4" i="5" s="1"/>
  <c r="F4" i="5" s="1"/>
  <c r="G4" i="5" s="1"/>
  <c r="H4" i="5" s="1"/>
  <c r="I4" i="5" s="1"/>
  <c r="J4" i="5" s="1"/>
  <c r="K4" i="5" s="1"/>
  <c r="L4" i="5" s="1"/>
  <c r="M4" i="5" s="1"/>
  <c r="N4" i="5" s="1"/>
  <c r="O4" i="5" s="1"/>
  <c r="P4" i="5" s="1"/>
  <c r="Q4" i="5" s="1"/>
  <c r="R4" i="5" s="1"/>
  <c r="S4" i="5" s="1"/>
  <c r="T4" i="5" s="1"/>
  <c r="U4" i="5" s="1"/>
  <c r="V4" i="5" s="1"/>
  <c r="W4" i="5" s="1"/>
  <c r="X4" i="5" s="1"/>
  <c r="Y4" i="5" s="1"/>
  <c r="Z4" i="5" s="1"/>
  <c r="AA4" i="5" s="1"/>
  <c r="AB4" i="5" s="1"/>
  <c r="AC4" i="5" s="1"/>
  <c r="AD4" i="5" s="1"/>
  <c r="AE4" i="5" s="1"/>
  <c r="AF4" i="5" s="1"/>
  <c r="AG4" i="5" s="1"/>
  <c r="AH4" i="5" s="1"/>
  <c r="AI4" i="5" s="1"/>
  <c r="AJ4" i="5" s="1"/>
  <c r="AK4" i="5" s="1"/>
  <c r="AL4" i="5" s="1"/>
  <c r="AM4" i="5" s="1"/>
  <c r="AN4" i="5" s="1"/>
  <c r="AO4" i="5" s="1"/>
  <c r="AP4" i="5" s="1"/>
  <c r="AQ4" i="5" s="1"/>
  <c r="AR4" i="5" s="1"/>
  <c r="AS4" i="5" s="1"/>
  <c r="AT4" i="5" s="1"/>
  <c r="AU4" i="5" s="1"/>
  <c r="AV4" i="5" s="1"/>
  <c r="AW4" i="5" s="1"/>
  <c r="AX4" i="5" s="1"/>
  <c r="AY4" i="5" s="1"/>
  <c r="AZ4" i="5" s="1"/>
  <c r="BA4" i="5" s="1"/>
  <c r="BB4" i="5" s="1"/>
  <c r="D34" i="2"/>
  <c r="D24" i="2"/>
  <c r="D36" i="2"/>
  <c r="D23" i="2"/>
  <c r="E9" i="2"/>
  <c r="D19" i="2"/>
  <c r="D20" i="2"/>
  <c r="D4" i="2"/>
  <c r="D16" i="2"/>
  <c r="D9" i="2"/>
  <c r="D3" i="2"/>
  <c r="D8" i="2" l="1"/>
  <c r="D15" i="2"/>
  <c r="D10" i="2"/>
  <c r="D11" i="2"/>
  <c r="D2" i="2"/>
  <c r="D37" i="2"/>
  <c r="D12" i="2"/>
  <c r="D38" i="2"/>
  <c r="D14" i="2"/>
  <c r="D39" i="2"/>
  <c r="D40" i="2"/>
  <c r="D18" i="2"/>
  <c r="D17" i="2"/>
  <c r="D41" i="2"/>
  <c r="D4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tc={D73EC428-54A6-C949-BA4D-7A14215C641D}</author>
    <author>tc={2A928F0B-C038-4A41-9D6E-EAC82B46A54C}</author>
  </authors>
  <commentList>
    <comment ref="B1" authorId="0" shapeId="0" xr:uid="{D73EC428-54A6-C949-BA4D-7A14215C641D}">
      <text>
        <t>[Threaded comment]
Your version of Excel allows you to read this threaded comment; however, any edits to it will get removed if the file is opened in a newer version of Excel. Learn more: https://go.microsoft.com/fwlink/?linkid=870924
Comment:
    Enter the Monday date of the project start week</t>
      </text>
    </comment>
    <comment ref="C1" authorId="1" shapeId="0" xr:uid="{2A928F0B-C038-4A41-9D6E-EAC82B46A54C}">
      <text>
        <t>[Threaded comment]
Your version of Excel allows you to read this threaded comment; however, any edits to it will get removed if the file is opened in a newer version of Excel. Learn more: https://go.microsoft.com/fwlink/?linkid=870924
Comment:
    Enter the Friday date when project ends with HyperCare</t>
      </text>
    </comment>
  </commentList>
</comments>
</file>

<file path=xl/sharedStrings.xml><?xml version="1.0" encoding="utf-8"?>
<sst xmlns="http://schemas.openxmlformats.org/spreadsheetml/2006/main" count="180" uniqueCount="94">
  <si>
    <t>SLOT-808 AEP Phase III</t>
  </si>
  <si>
    <t>SLOT-851 Exelon OAuth + CSR SSO + Agentis SSO</t>
  </si>
  <si>
    <t>SLOT-527 CNED/ORU OAuth + Ev2</t>
  </si>
  <si>
    <t>Start Wk</t>
  </si>
  <si>
    <t># of Wk</t>
  </si>
  <si>
    <t>OUTLOOK</t>
  </si>
  <si>
    <t>Resource Capacity in FTE</t>
  </si>
  <si>
    <t>Starting Week</t>
  </si>
  <si>
    <t>End Date</t>
  </si>
  <si>
    <t>AD&amp;D Rollout</t>
  </si>
  <si>
    <t>SLOT-796 Exelon CEC Easy Open + HEA v2</t>
  </si>
  <si>
    <t>SLOT-893 GWP DER</t>
  </si>
  <si>
    <t>SLOT-908 SMUD Bill Guide Rollout</t>
  </si>
  <si>
    <t>SLOT-655 RSVL DER</t>
  </si>
  <si>
    <t>SLOT-879 DUQ OAuth</t>
  </si>
  <si>
    <t>SLOT-683 ENMX OAuth + Ev2</t>
  </si>
  <si>
    <t>SLOT-678 CPS OAuth</t>
  </si>
  <si>
    <t>SLOT-883 Evergy OAuth (2 OpCo's)</t>
  </si>
  <si>
    <t>SLOT-881 AEP OAuth (6 OpCo's)</t>
  </si>
  <si>
    <t>Vinod</t>
  </si>
  <si>
    <t>Andy</t>
  </si>
  <si>
    <t>Frehiwot</t>
  </si>
  <si>
    <t>Bala</t>
  </si>
  <si>
    <t>Amulya</t>
  </si>
  <si>
    <t>Suchi</t>
  </si>
  <si>
    <t>Janani</t>
  </si>
  <si>
    <t>Srilekha</t>
  </si>
  <si>
    <t>Q1-2022</t>
  </si>
  <si>
    <t>Q2-2022</t>
  </si>
  <si>
    <t>Q3-2022</t>
  </si>
  <si>
    <t>Q4-2022</t>
  </si>
  <si>
    <t>Status</t>
  </si>
  <si>
    <t>In Progress</t>
  </si>
  <si>
    <t>Implementation</t>
  </si>
  <si>
    <t>Vanilla Standalone - SSO</t>
  </si>
  <si>
    <t>Vanilla Standalone - NO SSO</t>
  </si>
  <si>
    <t>Weeks</t>
  </si>
  <si>
    <t>Mgr</t>
  </si>
  <si>
    <t>US IE Lead</t>
  </si>
  <si>
    <t>US IE</t>
  </si>
  <si>
    <t>IDC IE Lead</t>
  </si>
  <si>
    <t>IDC IE</t>
  </si>
  <si>
    <t>Ev2 + Oauth + Symphony</t>
  </si>
  <si>
    <t>Ev2 + Oauth</t>
  </si>
  <si>
    <t>Oauth</t>
  </si>
  <si>
    <t>Wiget Gallery v2</t>
  </si>
  <si>
    <t>NBA - Standalone</t>
  </si>
  <si>
    <t>NBA - Ev2</t>
  </si>
  <si>
    <t>HEA v2 - Standalone</t>
  </si>
  <si>
    <t>HEA v2 - Ev2</t>
  </si>
  <si>
    <t>DER Solar Web - Standalone</t>
  </si>
  <si>
    <t>DER Solar Web - Ev2</t>
  </si>
  <si>
    <t>TBD</t>
  </si>
  <si>
    <t>SLOT-928 Nicore (NICO) Gas - New Logo Standalone</t>
  </si>
  <si>
    <t>Seamless - NO SSO</t>
  </si>
  <si>
    <t>Seamless - SSO</t>
  </si>
  <si>
    <t>Production Support</t>
  </si>
  <si>
    <t>SLOT-968 PGE DER</t>
  </si>
  <si>
    <t>UTIL - LMI Savings Hub</t>
  </si>
  <si>
    <t>SLOT-971 EVER NBA</t>
  </si>
  <si>
    <t>FTE / wk</t>
  </si>
  <si>
    <t>CAP-101 CNED/ORU CIS Migration</t>
  </si>
  <si>
    <t>CAP-113 Exelon 8 OpCo's - Enable Spanish &amp; Chinese</t>
  </si>
  <si>
    <t>CAP-253 PGE Bill Guide STAGE Testing</t>
  </si>
  <si>
    <t>PROJECTS</t>
  </si>
  <si>
    <t>CAPACITY - YEAR VIEW</t>
  </si>
  <si>
    <t>CAPACITY - TEAM VIEW</t>
  </si>
  <si>
    <t>TEAM MEMBER</t>
  </si>
  <si>
    <t>Committed</t>
  </si>
  <si>
    <t>Evaluating</t>
  </si>
  <si>
    <t>Total Hrs</t>
  </si>
  <si>
    <t>CAP-205 AEPO DSS-EM RAT</t>
  </si>
  <si>
    <t>CAP-217 Mid-American NBA</t>
  </si>
  <si>
    <t>CAP-259 CNP MS Standalone NO SSO</t>
  </si>
  <si>
    <t>CAP-269 CNED/ORU Uplight Oauth SSO</t>
  </si>
  <si>
    <t>CAP-241 BCE1 SMB Widgets Demo</t>
  </si>
  <si>
    <t>Swarnendu</t>
  </si>
  <si>
    <t>PROD UTIL - Saudi SEC PoC</t>
  </si>
  <si>
    <t>CAP-348 CNPA/CNPO Rebranding</t>
  </si>
  <si>
    <t>CAP-45 VNG - New Logo Standalone</t>
  </si>
  <si>
    <t>CAP-132 - CEC/PECO CCB Migration Support</t>
  </si>
  <si>
    <t>Divija</t>
  </si>
  <si>
    <t>CAP-357 PGE 2 New NBA for CBFA</t>
  </si>
  <si>
    <t>Closed</t>
  </si>
  <si>
    <t>CAP-337 SMUD NBA Banners Updates</t>
  </si>
  <si>
    <t>CAP-387 PGE Oauth + Ev2</t>
  </si>
  <si>
    <t>CAP-375 PSE Add BF, HEUD, NBA</t>
  </si>
  <si>
    <t>CAP-405 PGE Traditional Chinese Localization</t>
  </si>
  <si>
    <t>CAP-273 PSE DSS-EM D-Brow Cost View</t>
  </si>
  <si>
    <t>SLOT-1006 VEC OAuth</t>
  </si>
  <si>
    <t>SLOT-567 MEEN Oauth, Symphony, Ev2</t>
  </si>
  <si>
    <t>BHE Project</t>
  </si>
  <si>
    <t>CAP-138 COA SUN &amp; DER</t>
  </si>
  <si>
    <t>CAP-193 NGNY AMI, Proactive Alerts, RAT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</si>
</sst>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\ ddd"/>
    <numFmt numFmtId="165" formatCode="mm/dd/yy;@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A8D379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D9E1F1"/>
        <bgColor indexed="64"/>
      </patternFill>
    </fill>
    <fill>
      <patternFill patternType="solid">
        <fgColor rgb="FFFF6666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/>
    </xf>
    <xf numFmtId="2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3" borderId="0" xfId="0" applyFill="1"/>
    <xf numFmtId="0" fontId="1" fillId="0" borderId="0" xfId="0" applyFont="1" applyAlignment="1">
      <alignment horizontal="center"/>
    </xf>
    <xf numFmtId="2" fontId="0" fillId="0" borderId="0" xfId="0" applyNumberFormat="1"/>
    <xf numFmtId="0" fontId="0" fillId="0" borderId="0" xfId="0" applyBorder="1"/>
    <xf numFmtId="9" fontId="0" fillId="2" borderId="1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7" borderId="1" xfId="0" applyFill="1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 vertical="center"/>
    </xf>
    <xf numFmtId="0" fontId="1" fillId="0" borderId="0" xfId="0" applyFont="1"/>
    <xf numFmtId="0" fontId="0" fillId="0" borderId="0" xfId="0" applyFill="1" applyBorder="1"/>
    <xf numFmtId="0" fontId="0" fillId="7" borderId="4" xfId="0" applyFill="1" applyBorder="1" applyAlignment="1">
      <alignment horizontal="center" vertical="center"/>
    </xf>
    <xf numFmtId="165" fontId="0" fillId="0" borderId="4" xfId="0" applyNumberFormat="1" applyFill="1" applyBorder="1" applyAlignment="1">
      <alignment horizontal="center" vertical="center"/>
    </xf>
    <xf numFmtId="0" fontId="0" fillId="0" borderId="0" xfId="0" applyAlignment="1"/>
    <xf numFmtId="0" fontId="1" fillId="0" borderId="0" xfId="0" applyFont="1" applyFill="1" applyBorder="1" applyAlignment="1">
      <alignment horizontal="center"/>
    </xf>
    <xf numFmtId="0" fontId="0" fillId="0" borderId="0" xfId="0"/>
    <xf numFmtId="1" fontId="0" fillId="0" borderId="0" xfId="0" applyNumberFormat="1" applyAlignment="1">
      <alignment horizontal="center" vertical="center"/>
    </xf>
    <xf numFmtId="0" fontId="0" fillId="0" borderId="0" xfId="0" applyFill="1"/>
    <xf numFmtId="0" fontId="0" fillId="0" borderId="0" xfId="0"/>
    <xf numFmtId="0" fontId="0" fillId="0" borderId="0" xfId="0"/>
    <xf numFmtId="2" fontId="0" fillId="10" borderId="0" xfId="0" applyNumberFormat="1" applyFill="1"/>
    <xf numFmtId="2" fontId="0" fillId="10" borderId="0" xfId="0" applyNumberFormat="1" applyFill="1" applyAlignment="1">
      <alignment horizontal="center"/>
    </xf>
    <xf numFmtId="2" fontId="0" fillId="11" borderId="0" xfId="0" applyNumberFormat="1" applyFill="1"/>
    <xf numFmtId="2" fontId="0" fillId="11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2" fontId="0" fillId="9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A8D379"/>
      <color rgb="FFA8D241"/>
      <color rgb="FFD84942"/>
      <color rgb="FFFF7E79"/>
      <color rgb="FF92D050"/>
      <color rgb="FFFFFD78"/>
      <color rgb="FFA8D7FF"/>
      <color rgb="FF9BC2E6"/>
      <color rgb="FFB4C6E7"/>
      <color rgb="FF73FE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635000</xdr:colOff>
          <xdr:row>7</xdr:row>
          <xdr:rowOff>76200</xdr:rowOff>
        </xdr:from>
        <xdr:to>
          <xdr:col>2</xdr:col>
          <xdr:colOff>1104900</xdr:colOff>
          <xdr:row>9</xdr:row>
          <xdr:rowOff>101600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Forecast Capacity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Nha Do" id="{126EDBA6-902C-0C46-8936-8881F821240D}" userId="S::nha.do@oracle.com::ad1d0676-be02-4c34-bce6-26ce1ad8a08b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" dT="2021-08-23T17:20:11.79" personId="{126EDBA6-902C-0C46-8936-8881F821240D}" id="{D73EC428-54A6-C949-BA4D-7A14215C641D}">
    <text>Enter the Monday date of the project start week</text>
  </threadedComment>
  <threadedComment ref="C1" dT="2021-08-23T17:21:14.58" personId="{126EDBA6-902C-0C46-8936-8881F821240D}" id="{2A928F0B-C038-4A41-9D6E-EAC82B46A54C}">
    <text>Enter the Friday date when project ends with HyperCare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DDA63-4DCB-CD4E-A284-3B00A416B739}">
  <sheetPr codeName="Sheet2"/>
  <dimension ref="A1:P42"/>
  <sheetViews>
    <sheetView tabSelected="1" workbookViewId="0">
      <pane xSplit="1" ySplit="1" topLeftCell="B5" activePane="bottomRight" state="frozen"/>
      <selection pane="topRight" activeCell="B1" sqref="B1"/>
      <selection pane="bottomLeft" activeCell="A2" sqref="A2"/>
      <selection pane="bottomRight" activeCell="H11" sqref="H11"/>
    </sheetView>
  </sheetViews>
  <sheetFormatPr baseColWidth="10" defaultRowHeight="16" x14ac:dyDescent="0.2"/>
  <cols>
    <col min="1" max="1" width="45" bestFit="1" customWidth="1"/>
    <col min="2" max="3" width="13" style="8" customWidth="1"/>
    <col min="4" max="4" width="10.83203125" style="5" customWidth="1"/>
    <col min="5" max="5" width="10.83203125" style="2" customWidth="1"/>
    <col min="6" max="16" width="10.83203125" style="1" customWidth="1"/>
    <col min="17" max="20" width="10.83203125" customWidth="1"/>
  </cols>
  <sheetData>
    <row r="1" spans="1:16" s="3" customFormat="1" x14ac:dyDescent="0.2">
      <c r="B1" s="7" t="s">
        <v>3</v>
      </c>
      <c r="C1" s="7" t="s">
        <v>8</v>
      </c>
      <c r="D1" s="4" t="s">
        <v>4</v>
      </c>
      <c r="E1" s="6" t="s">
        <v>60</v>
      </c>
      <c r="F1" s="3" t="s">
        <v>31</v>
      </c>
      <c r="G1" s="3" t="s">
        <v>20</v>
      </c>
      <c r="H1" s="3" t="s">
        <v>19</v>
      </c>
      <c r="I1" s="3" t="s">
        <v>21</v>
      </c>
      <c r="J1" s="3" t="s">
        <v>22</v>
      </c>
      <c r="K1" s="3" t="s">
        <v>23</v>
      </c>
      <c r="L1" s="3" t="s">
        <v>24</v>
      </c>
      <c r="M1" s="3" t="s">
        <v>25</v>
      </c>
      <c r="N1" s="3" t="s">
        <v>26</v>
      </c>
      <c r="O1" s="3" t="s">
        <v>76</v>
      </c>
      <c r="P1" s="3" t="s">
        <v>81</v>
      </c>
    </row>
    <row r="2" spans="1:16" x14ac:dyDescent="0.2">
      <c r="A2" t="s">
        <v>2</v>
      </c>
      <c r="B2" s="8">
        <v>44564</v>
      </c>
      <c r="C2" s="8">
        <v>44743</v>
      </c>
      <c r="D2" s="5">
        <f>ROUNDUP((NETWORKDAYS(B2,C2) / 5),0)</f>
        <v>26</v>
      </c>
      <c r="E2" s="12">
        <f>SUM(G2:N2) / 40</f>
        <v>0.2</v>
      </c>
      <c r="F2" s="1" t="s">
        <v>83</v>
      </c>
      <c r="G2" s="1">
        <v>4</v>
      </c>
      <c r="H2" s="1">
        <v>2</v>
      </c>
      <c r="J2" s="1">
        <v>2</v>
      </c>
    </row>
    <row r="3" spans="1:16" x14ac:dyDescent="0.2">
      <c r="A3" s="24" t="s">
        <v>57</v>
      </c>
      <c r="B3" s="8">
        <v>44599</v>
      </c>
      <c r="C3" s="8">
        <v>44722</v>
      </c>
      <c r="D3" s="5">
        <f>ROUNDUP((NETWORKDAYS(B3,C3) / 5),0)</f>
        <v>18</v>
      </c>
      <c r="E3" s="12">
        <f>SUM(G3:N3) / 40</f>
        <v>0.9</v>
      </c>
      <c r="F3" s="1" t="s">
        <v>83</v>
      </c>
      <c r="G3" s="1">
        <v>16</v>
      </c>
      <c r="H3" s="1">
        <v>2</v>
      </c>
      <c r="J3" s="1">
        <v>4</v>
      </c>
      <c r="L3" s="1">
        <v>10</v>
      </c>
      <c r="M3" s="1">
        <v>2</v>
      </c>
      <c r="N3" s="1">
        <v>2</v>
      </c>
    </row>
    <row r="4" spans="1:16" x14ac:dyDescent="0.2">
      <c r="A4" s="24" t="s">
        <v>59</v>
      </c>
      <c r="B4" s="8">
        <v>44676</v>
      </c>
      <c r="C4" s="8">
        <v>44764</v>
      </c>
      <c r="D4" s="5">
        <f>ROUNDUP((NETWORKDAYS(B4,C4) / 5),0)</f>
        <v>13</v>
      </c>
      <c r="E4" s="12">
        <f>SUM(G4:N4) / 40</f>
        <v>0.35</v>
      </c>
      <c r="F4" s="1" t="s">
        <v>83</v>
      </c>
      <c r="G4" s="1">
        <v>2</v>
      </c>
      <c r="K4" s="1">
        <v>4</v>
      </c>
      <c r="M4" s="1">
        <v>8</v>
      </c>
    </row>
    <row r="5" spans="1:16" x14ac:dyDescent="0.2">
      <c r="A5" s="24" t="s">
        <v>75</v>
      </c>
      <c r="B5" s="8">
        <v>44690</v>
      </c>
      <c r="C5" s="8">
        <v>44736</v>
      </c>
      <c r="D5" s="5">
        <f>ROUNDUP((NETWORKDAYS(B5,C5) / 5),0)</f>
        <v>7</v>
      </c>
      <c r="E5" s="12">
        <f>SUM(G5:N5) / 40</f>
        <v>0.3</v>
      </c>
      <c r="F5" s="1" t="s">
        <v>83</v>
      </c>
      <c r="G5" s="1">
        <v>4</v>
      </c>
      <c r="I5" s="1">
        <v>8</v>
      </c>
    </row>
    <row r="6" spans="1:16" x14ac:dyDescent="0.2">
      <c r="A6" t="s">
        <v>77</v>
      </c>
      <c r="B6" s="8">
        <v>44704</v>
      </c>
      <c r="C6" s="8">
        <v>44729</v>
      </c>
      <c r="D6" s="5">
        <f>ROUNDUP((NETWORKDAYS(B6,C6) / 5),0)</f>
        <v>4</v>
      </c>
      <c r="E6" s="12">
        <f>SUM(G6:N6) / 40</f>
        <v>0.1</v>
      </c>
      <c r="F6" s="1" t="s">
        <v>83</v>
      </c>
      <c r="M6" s="1">
        <v>4</v>
      </c>
      <c r="O6" s="1">
        <v>4</v>
      </c>
    </row>
    <row r="7" spans="1:16" x14ac:dyDescent="0.2">
      <c r="A7" s="38" t="s">
        <v>82</v>
      </c>
      <c r="B7" s="8">
        <v>44725</v>
      </c>
      <c r="C7" s="8">
        <v>44750</v>
      </c>
      <c r="D7" s="5">
        <f>ROUNDUP((NETWORKDAYS(B7,C7) / 5),0)</f>
        <v>4</v>
      </c>
      <c r="E7" s="12">
        <f>SUM(G7:N7) / 40</f>
        <v>0.32500000000000001</v>
      </c>
      <c r="F7" s="1" t="s">
        <v>83</v>
      </c>
      <c r="G7" s="1">
        <v>1</v>
      </c>
      <c r="J7" s="1">
        <v>6</v>
      </c>
      <c r="M7" s="1">
        <v>6</v>
      </c>
    </row>
    <row r="8" spans="1:16" x14ac:dyDescent="0.2">
      <c r="A8" s="39" t="s">
        <v>56</v>
      </c>
      <c r="B8" s="8">
        <v>44564</v>
      </c>
      <c r="C8" s="8">
        <v>44925</v>
      </c>
      <c r="D8" s="5">
        <f>ROUNDUP((NETWORKDAYS(B8,C8) / 5),0)</f>
        <v>52</v>
      </c>
      <c r="E8" s="12">
        <f>SUM(G8:N8) / 40</f>
        <v>1</v>
      </c>
      <c r="F8" s="1" t="s">
        <v>32</v>
      </c>
      <c r="K8" s="1">
        <v>8</v>
      </c>
      <c r="L8" s="1">
        <v>16</v>
      </c>
      <c r="M8" s="1">
        <v>8</v>
      </c>
      <c r="N8" s="1">
        <v>8</v>
      </c>
      <c r="O8" s="1">
        <v>8</v>
      </c>
    </row>
    <row r="9" spans="1:16" x14ac:dyDescent="0.2">
      <c r="A9" s="39" t="s">
        <v>9</v>
      </c>
      <c r="B9" s="8">
        <v>44564</v>
      </c>
      <c r="C9" s="8">
        <v>44925</v>
      </c>
      <c r="D9" s="5">
        <f>ROUNDUP((NETWORKDAYS(B9,C9) / 5),0)</f>
        <v>52</v>
      </c>
      <c r="E9" s="12">
        <f>SUM(G9:N9) / 40</f>
        <v>0.25</v>
      </c>
      <c r="F9" s="1" t="s">
        <v>32</v>
      </c>
      <c r="G9" s="1">
        <v>2</v>
      </c>
      <c r="K9" s="1">
        <v>2</v>
      </c>
      <c r="L9" s="1">
        <v>2</v>
      </c>
      <c r="M9" s="1">
        <v>2</v>
      </c>
      <c r="N9" s="1">
        <v>2</v>
      </c>
      <c r="O9" s="1">
        <v>2</v>
      </c>
    </row>
    <row r="10" spans="1:16" x14ac:dyDescent="0.2">
      <c r="A10" t="s">
        <v>0</v>
      </c>
      <c r="B10" s="8">
        <v>44564</v>
      </c>
      <c r="C10" s="8">
        <v>44771</v>
      </c>
      <c r="D10" s="5">
        <f>ROUNDUP((NETWORKDAYS(B10,C10) / 5),0)</f>
        <v>30</v>
      </c>
      <c r="E10" s="12">
        <f>SUM(G10:N10) / 40</f>
        <v>0.2</v>
      </c>
      <c r="F10" s="1" t="s">
        <v>32</v>
      </c>
      <c r="K10" s="1">
        <v>4</v>
      </c>
      <c r="M10" s="1">
        <v>4</v>
      </c>
    </row>
    <row r="11" spans="1:16" x14ac:dyDescent="0.2">
      <c r="A11" s="24" t="s">
        <v>1</v>
      </c>
      <c r="B11" s="8">
        <v>44564</v>
      </c>
      <c r="C11" s="8">
        <v>44827</v>
      </c>
      <c r="D11" s="5">
        <f>ROUNDUP((NETWORKDAYS(B11,C11) / 5),0)</f>
        <v>38</v>
      </c>
      <c r="E11" s="12">
        <f>SUM(G11:N11) / 40</f>
        <v>0.35</v>
      </c>
      <c r="F11" s="1" t="s">
        <v>32</v>
      </c>
      <c r="G11" s="1">
        <v>8</v>
      </c>
      <c r="H11" s="1">
        <v>6</v>
      </c>
    </row>
    <row r="12" spans="1:16" x14ac:dyDescent="0.2">
      <c r="A12" t="s">
        <v>10</v>
      </c>
      <c r="B12" s="8">
        <v>44564</v>
      </c>
      <c r="C12" s="8">
        <v>44771</v>
      </c>
      <c r="D12" s="5">
        <f>ROUNDUP((NETWORKDAYS(B12,C12) / 5),0)</f>
        <v>30</v>
      </c>
      <c r="E12" s="12">
        <f>SUM(G12:N12) / 40</f>
        <v>0.125</v>
      </c>
      <c r="F12" s="1" t="s">
        <v>32</v>
      </c>
      <c r="G12" s="1">
        <v>4</v>
      </c>
      <c r="H12" s="1">
        <v>1</v>
      </c>
    </row>
    <row r="13" spans="1:16" x14ac:dyDescent="0.2">
      <c r="A13" s="39" t="s">
        <v>90</v>
      </c>
      <c r="B13" s="8">
        <v>44564</v>
      </c>
      <c r="C13" s="8">
        <v>44771</v>
      </c>
      <c r="D13" s="5">
        <f>ROUNDUP((NETWORKDAYS(B13,C13) / 5),0)</f>
        <v>30</v>
      </c>
      <c r="E13" s="12">
        <f>SUM(G13:N13) / 40</f>
        <v>0.1</v>
      </c>
      <c r="F13" s="1" t="s">
        <v>32</v>
      </c>
      <c r="K13" s="1">
        <v>4</v>
      </c>
      <c r="O13" s="1">
        <v>4</v>
      </c>
    </row>
    <row r="14" spans="1:16" x14ac:dyDescent="0.2">
      <c r="A14" t="s">
        <v>89</v>
      </c>
      <c r="B14" s="8">
        <v>44634</v>
      </c>
      <c r="C14" s="8">
        <v>44771</v>
      </c>
      <c r="D14" s="5">
        <f>ROUNDUP((NETWORKDAYS(B14,C14) / 5),0)</f>
        <v>20</v>
      </c>
      <c r="E14" s="12">
        <f>SUM(G14:N14) / 40</f>
        <v>0.2</v>
      </c>
      <c r="F14" s="1" t="s">
        <v>32</v>
      </c>
      <c r="G14" s="1">
        <v>1</v>
      </c>
      <c r="H14" s="1">
        <v>6</v>
      </c>
      <c r="I14" s="1">
        <v>1</v>
      </c>
    </row>
    <row r="15" spans="1:16" x14ac:dyDescent="0.2">
      <c r="A15" s="28" t="s">
        <v>53</v>
      </c>
      <c r="B15" s="8">
        <v>44662</v>
      </c>
      <c r="C15" s="8">
        <v>44778</v>
      </c>
      <c r="D15" s="5">
        <f>ROUNDUP((NETWORKDAYS(B15,C15) / 5),0)</f>
        <v>17</v>
      </c>
      <c r="E15" s="12">
        <f>SUM(G15:N15) / 40</f>
        <v>0.125</v>
      </c>
      <c r="F15" s="1" t="s">
        <v>32</v>
      </c>
      <c r="G15" s="1">
        <v>1</v>
      </c>
      <c r="I15" s="1">
        <v>2</v>
      </c>
      <c r="K15" s="1">
        <v>2</v>
      </c>
    </row>
    <row r="16" spans="1:16" x14ac:dyDescent="0.2">
      <c r="A16" s="38" t="s">
        <v>58</v>
      </c>
      <c r="B16" s="8">
        <v>44676</v>
      </c>
      <c r="C16" s="8">
        <v>44771</v>
      </c>
      <c r="D16" s="5">
        <f>ROUNDUP((NETWORKDAYS(B16,C16) / 5),0)</f>
        <v>14</v>
      </c>
      <c r="E16" s="12">
        <f>SUM(G16:N16) / 40</f>
        <v>0.125</v>
      </c>
      <c r="F16" s="1" t="s">
        <v>32</v>
      </c>
      <c r="G16" s="1">
        <v>1</v>
      </c>
      <c r="K16" s="1">
        <v>4</v>
      </c>
    </row>
    <row r="17" spans="1:16" x14ac:dyDescent="0.2">
      <c r="A17" s="39" t="s">
        <v>11</v>
      </c>
      <c r="B17" s="8">
        <v>44683</v>
      </c>
      <c r="C17" s="8">
        <v>44799</v>
      </c>
      <c r="D17" s="5">
        <f>ROUNDUP((NETWORKDAYS(B17,C17) / 5),0)</f>
        <v>17</v>
      </c>
      <c r="E17" s="12">
        <f>SUM(G17:N17) / 40</f>
        <v>0.2</v>
      </c>
      <c r="F17" s="1" t="s">
        <v>32</v>
      </c>
      <c r="G17" s="1">
        <v>4</v>
      </c>
      <c r="L17" s="1">
        <v>4</v>
      </c>
      <c r="O17" s="1">
        <v>6</v>
      </c>
    </row>
    <row r="18" spans="1:16" x14ac:dyDescent="0.2">
      <c r="A18" s="28" t="s">
        <v>18</v>
      </c>
      <c r="B18" s="8">
        <v>44683</v>
      </c>
      <c r="C18" s="8">
        <v>44799</v>
      </c>
      <c r="D18" s="5">
        <f>ROUNDUP((NETWORKDAYS(B18,C18) / 5),0)</f>
        <v>17</v>
      </c>
      <c r="E18" s="12">
        <f>SUM(G18:N18) / 40</f>
        <v>0.17499999999999999</v>
      </c>
      <c r="F18" s="1" t="s">
        <v>32</v>
      </c>
      <c r="G18" s="1">
        <v>1</v>
      </c>
      <c r="H18" s="1">
        <v>6</v>
      </c>
    </row>
    <row r="19" spans="1:16" x14ac:dyDescent="0.2">
      <c r="A19" s="26" t="s">
        <v>72</v>
      </c>
      <c r="B19" s="8">
        <v>44690</v>
      </c>
      <c r="C19" s="8">
        <v>44799</v>
      </c>
      <c r="D19" s="5">
        <f>ROUNDUP((NETWORKDAYS(B19,C19) / 5),0)</f>
        <v>16</v>
      </c>
      <c r="E19" s="12">
        <f>SUM(G19:N19) / 40</f>
        <v>0.45</v>
      </c>
      <c r="F19" s="1" t="s">
        <v>32</v>
      </c>
      <c r="G19" s="1">
        <v>4</v>
      </c>
      <c r="I19" s="1">
        <v>10</v>
      </c>
      <c r="K19" s="1">
        <v>4</v>
      </c>
    </row>
    <row r="20" spans="1:16" x14ac:dyDescent="0.2">
      <c r="A20" s="27" t="s">
        <v>79</v>
      </c>
      <c r="B20" s="8">
        <v>44711</v>
      </c>
      <c r="C20" s="8">
        <v>44848</v>
      </c>
      <c r="D20" s="5">
        <f>ROUNDUP((NETWORKDAYS(B20,C20) / 5),0)</f>
        <v>20</v>
      </c>
      <c r="E20" s="12">
        <f>SUM(G20:N20) / 40</f>
        <v>0.3</v>
      </c>
      <c r="F20" s="1" t="s">
        <v>32</v>
      </c>
      <c r="G20" s="1">
        <v>2</v>
      </c>
      <c r="K20" s="1">
        <v>2</v>
      </c>
      <c r="N20" s="1">
        <v>8</v>
      </c>
    </row>
    <row r="21" spans="1:16" x14ac:dyDescent="0.2">
      <c r="A21" s="38" t="s">
        <v>74</v>
      </c>
      <c r="B21" s="8">
        <v>44711</v>
      </c>
      <c r="C21" s="8">
        <v>44834</v>
      </c>
      <c r="D21" s="5">
        <f>ROUNDUP((NETWORKDAYS(B21,C21) / 5),0)</f>
        <v>18</v>
      </c>
      <c r="E21" s="12">
        <f>SUM(G21:N21) / 40</f>
        <v>0.35</v>
      </c>
      <c r="F21" s="1" t="s">
        <v>32</v>
      </c>
      <c r="G21" s="1">
        <v>4</v>
      </c>
      <c r="H21" s="1">
        <v>10</v>
      </c>
    </row>
    <row r="22" spans="1:16" x14ac:dyDescent="0.2">
      <c r="A22" s="39" t="s">
        <v>84</v>
      </c>
      <c r="B22" s="8">
        <v>44718</v>
      </c>
      <c r="C22" s="8">
        <v>44771</v>
      </c>
      <c r="D22" s="5">
        <f>ROUNDUP((NETWORKDAYS(B22,C22) / 5),0)</f>
        <v>8</v>
      </c>
      <c r="E22" s="12">
        <f>SUM(G22:N22) / 40</f>
        <v>0.15</v>
      </c>
      <c r="F22" s="1" t="s">
        <v>32</v>
      </c>
      <c r="L22" s="1">
        <v>2</v>
      </c>
      <c r="M22" s="1">
        <v>4</v>
      </c>
    </row>
    <row r="23" spans="1:16" x14ac:dyDescent="0.2">
      <c r="A23" s="26" t="s">
        <v>63</v>
      </c>
      <c r="B23" s="8">
        <v>44718</v>
      </c>
      <c r="C23" s="8">
        <v>44771</v>
      </c>
      <c r="D23" s="5">
        <f>ROUNDUP((NETWORKDAYS(B23,C23) / 5),0)</f>
        <v>8</v>
      </c>
      <c r="E23" s="12">
        <f>SUM(G23:N23) / 40</f>
        <v>0.1</v>
      </c>
      <c r="F23" s="1" t="s">
        <v>32</v>
      </c>
      <c r="G23" s="1">
        <v>4</v>
      </c>
    </row>
    <row r="24" spans="1:16" x14ac:dyDescent="0.2">
      <c r="A24" s="39" t="s">
        <v>62</v>
      </c>
      <c r="B24" s="8">
        <v>44732</v>
      </c>
      <c r="C24" s="8">
        <v>44946</v>
      </c>
      <c r="D24" s="5">
        <f>ROUNDUP((NETWORKDAYS(B24,C24) / 5),0)</f>
        <v>31</v>
      </c>
      <c r="E24" s="12">
        <f>SUM(G24:N24) / 40</f>
        <v>0.125</v>
      </c>
      <c r="F24" s="1" t="s">
        <v>32</v>
      </c>
      <c r="G24" s="1">
        <v>1</v>
      </c>
      <c r="L24" s="1">
        <v>4</v>
      </c>
      <c r="O24" s="1">
        <v>4</v>
      </c>
      <c r="P24" s="1">
        <v>8</v>
      </c>
    </row>
    <row r="25" spans="1:16" x14ac:dyDescent="0.2">
      <c r="A25" s="39" t="s">
        <v>71</v>
      </c>
      <c r="B25" s="8">
        <v>44732</v>
      </c>
      <c r="C25" s="8">
        <v>44834</v>
      </c>
      <c r="D25" s="5">
        <f>ROUNDUP((NETWORKDAYS(B25,C25) / 5),0)</f>
        <v>15</v>
      </c>
      <c r="E25" s="12">
        <f>SUM(G25:N25) / 40</f>
        <v>0.2</v>
      </c>
      <c r="F25" s="1" t="s">
        <v>32</v>
      </c>
      <c r="G25" s="1">
        <v>2</v>
      </c>
      <c r="I25" s="1">
        <v>6</v>
      </c>
    </row>
    <row r="26" spans="1:16" x14ac:dyDescent="0.2">
      <c r="A26" s="39" t="s">
        <v>91</v>
      </c>
      <c r="B26" s="8">
        <v>44746</v>
      </c>
      <c r="C26" s="8">
        <v>44925</v>
      </c>
      <c r="D26" s="5">
        <f>ROUNDUP((NETWORKDAYS(B26,C26) / 5),0)</f>
        <v>26</v>
      </c>
      <c r="E26" s="12">
        <f>SUM(G26:N26) / 40</f>
        <v>1</v>
      </c>
      <c r="F26" s="1" t="s">
        <v>32</v>
      </c>
      <c r="J26" s="1">
        <v>40</v>
      </c>
    </row>
    <row r="27" spans="1:16" x14ac:dyDescent="0.2">
      <c r="A27" s="39" t="s">
        <v>85</v>
      </c>
      <c r="B27" s="8">
        <v>44746</v>
      </c>
      <c r="C27" s="8">
        <v>44897</v>
      </c>
      <c r="D27" s="5">
        <f>ROUNDUP((NETWORKDAYS(B27,C27) / 5),0)</f>
        <v>22</v>
      </c>
      <c r="E27" s="12">
        <f>SUM(G27:N27) / 40</f>
        <v>0.4</v>
      </c>
      <c r="F27" s="1" t="s">
        <v>32</v>
      </c>
      <c r="G27" s="1">
        <v>6</v>
      </c>
      <c r="K27" s="1">
        <v>4</v>
      </c>
      <c r="N27" s="1">
        <v>6</v>
      </c>
    </row>
    <row r="28" spans="1:16" x14ac:dyDescent="0.2">
      <c r="A28" s="38" t="s">
        <v>87</v>
      </c>
      <c r="B28" s="8">
        <v>44746</v>
      </c>
      <c r="C28" s="8">
        <v>44869</v>
      </c>
      <c r="D28" s="5">
        <f>ROUNDUP((NETWORKDAYS(B28,C28) / 5),0)</f>
        <v>18</v>
      </c>
      <c r="E28" s="12">
        <f>SUM(G28:N28) / 40</f>
        <v>7.4999999999999997E-2</v>
      </c>
      <c r="F28" s="1" t="s">
        <v>32</v>
      </c>
      <c r="G28" s="1">
        <v>1</v>
      </c>
      <c r="L28" s="1">
        <v>2</v>
      </c>
      <c r="O28" s="1">
        <v>2</v>
      </c>
      <c r="P28" s="1">
        <v>6</v>
      </c>
    </row>
    <row r="29" spans="1:16" x14ac:dyDescent="0.2">
      <c r="A29" s="39" t="s">
        <v>80</v>
      </c>
      <c r="B29" s="8">
        <v>44746</v>
      </c>
      <c r="C29" s="8">
        <v>44771</v>
      </c>
      <c r="D29" s="5">
        <f>ROUNDUP((NETWORKDAYS(B29,C29) / 5),0)</f>
        <v>4</v>
      </c>
      <c r="E29" s="12">
        <f>SUM(G29:N29) / 40</f>
        <v>0.05</v>
      </c>
      <c r="F29" s="1" t="s">
        <v>32</v>
      </c>
      <c r="L29" s="1">
        <v>2</v>
      </c>
      <c r="O29" s="1">
        <v>2</v>
      </c>
    </row>
    <row r="30" spans="1:16" x14ac:dyDescent="0.2">
      <c r="A30" s="26" t="s">
        <v>78</v>
      </c>
      <c r="B30" s="8">
        <v>44781</v>
      </c>
      <c r="C30" s="8">
        <v>44820</v>
      </c>
      <c r="D30" s="5">
        <f>ROUNDUP((NETWORKDAYS(B30,C30) / 5),0)</f>
        <v>6</v>
      </c>
      <c r="E30" s="12">
        <f>SUM(G30:N30) / 40</f>
        <v>0.375</v>
      </c>
      <c r="F30" s="1" t="s">
        <v>68</v>
      </c>
      <c r="G30" s="1">
        <v>1</v>
      </c>
      <c r="I30" s="1">
        <v>4</v>
      </c>
      <c r="K30" s="1">
        <v>4</v>
      </c>
      <c r="N30" s="1">
        <v>6</v>
      </c>
    </row>
    <row r="31" spans="1:16" x14ac:dyDescent="0.2">
      <c r="A31" s="39" t="s">
        <v>88</v>
      </c>
      <c r="B31" s="8">
        <v>44781</v>
      </c>
      <c r="C31" s="8">
        <v>44806</v>
      </c>
      <c r="D31" s="5">
        <f>ROUNDUP((NETWORKDAYS(B31,C31) / 5),0)</f>
        <v>4</v>
      </c>
      <c r="E31" s="12">
        <f>SUM(G31:N31) / 40</f>
        <v>0.22500000000000001</v>
      </c>
      <c r="F31" s="1" t="s">
        <v>68</v>
      </c>
      <c r="G31" s="1">
        <v>1</v>
      </c>
      <c r="I31" s="1">
        <v>8</v>
      </c>
    </row>
    <row r="32" spans="1:16" x14ac:dyDescent="0.2">
      <c r="A32" s="39" t="s">
        <v>73</v>
      </c>
      <c r="B32" s="8">
        <v>44795</v>
      </c>
      <c r="C32" s="8">
        <v>44918</v>
      </c>
      <c r="D32" s="5">
        <f>ROUNDUP((NETWORKDAYS(B32,C32) / 5),0)</f>
        <v>18</v>
      </c>
      <c r="E32" s="12">
        <f>SUM(G32:N32) / 40</f>
        <v>7.4999999999999997E-2</v>
      </c>
      <c r="F32" s="1" t="s">
        <v>68</v>
      </c>
      <c r="G32" s="1">
        <v>1</v>
      </c>
      <c r="K32" s="1">
        <v>2</v>
      </c>
      <c r="P32" s="1">
        <v>6</v>
      </c>
    </row>
    <row r="33" spans="1:9" x14ac:dyDescent="0.2">
      <c r="A33" s="39" t="s">
        <v>93</v>
      </c>
      <c r="B33" s="8">
        <v>44837</v>
      </c>
      <c r="C33" s="8">
        <v>44988</v>
      </c>
      <c r="D33" s="5">
        <f>ROUNDUP((NETWORKDAYS(B33,C33) / 5),0)</f>
        <v>22</v>
      </c>
      <c r="E33" s="12">
        <f>SUM(G33:N33) / 40</f>
        <v>0.25</v>
      </c>
      <c r="F33" s="1" t="s">
        <v>68</v>
      </c>
      <c r="G33" s="1">
        <v>2</v>
      </c>
      <c r="I33" s="1">
        <v>8</v>
      </c>
    </row>
    <row r="34" spans="1:9" x14ac:dyDescent="0.2">
      <c r="A34" s="39" t="s">
        <v>61</v>
      </c>
      <c r="B34" s="8">
        <v>44858</v>
      </c>
      <c r="C34" s="8">
        <v>44883</v>
      </c>
      <c r="D34" s="5">
        <f>ROUNDUP((NETWORKDAYS(B34,C34) / 5),0)</f>
        <v>4</v>
      </c>
      <c r="E34" s="12">
        <f>SUM(G34:N34) / 40</f>
        <v>0.125</v>
      </c>
      <c r="F34" s="1" t="s">
        <v>68</v>
      </c>
      <c r="G34" s="1">
        <v>1</v>
      </c>
      <c r="I34" s="1">
        <v>4</v>
      </c>
    </row>
    <row r="35" spans="1:9" x14ac:dyDescent="0.2">
      <c r="A35" s="39" t="s">
        <v>86</v>
      </c>
      <c r="B35" s="8">
        <v>44746</v>
      </c>
      <c r="C35" s="8">
        <v>44799</v>
      </c>
      <c r="D35" s="5">
        <f>ROUNDUP((NETWORKDAYS(B35,C35) / 5),0)</f>
        <v>8</v>
      </c>
      <c r="E35" s="12">
        <f>SUM(G35:N35) / 40</f>
        <v>0</v>
      </c>
      <c r="F35" s="1" t="s">
        <v>69</v>
      </c>
    </row>
    <row r="36" spans="1:9" x14ac:dyDescent="0.2">
      <c r="A36" s="26" t="s">
        <v>92</v>
      </c>
      <c r="B36" s="8">
        <v>44837</v>
      </c>
      <c r="C36" s="8">
        <v>44904</v>
      </c>
      <c r="D36" s="5">
        <f>ROUNDUP((NETWORKDAYS(B36,C36) / 5),0)</f>
        <v>10</v>
      </c>
      <c r="E36" s="12">
        <f>SUM(G36:N36) / 40</f>
        <v>0</v>
      </c>
      <c r="F36" s="1" t="s">
        <v>52</v>
      </c>
    </row>
    <row r="37" spans="1:9" x14ac:dyDescent="0.2">
      <c r="A37" t="s">
        <v>16</v>
      </c>
      <c r="B37" s="8">
        <v>44837</v>
      </c>
      <c r="C37" s="8">
        <v>44904</v>
      </c>
      <c r="D37" s="5">
        <f>ROUNDUP((NETWORKDAYS(B37,C37) / 5),0)</f>
        <v>10</v>
      </c>
      <c r="E37" s="12">
        <f>SUM(G37:N37) / 40</f>
        <v>0</v>
      </c>
      <c r="F37" s="1" t="s">
        <v>52</v>
      </c>
    </row>
    <row r="38" spans="1:9" x14ac:dyDescent="0.2">
      <c r="A38" t="s">
        <v>14</v>
      </c>
      <c r="B38" s="8">
        <v>44837</v>
      </c>
      <c r="C38" s="8">
        <v>44904</v>
      </c>
      <c r="D38" s="5">
        <f>ROUNDUP((NETWORKDAYS(B38,C38) / 5),0)</f>
        <v>10</v>
      </c>
      <c r="E38" s="12">
        <f>SUM(G38:N38) / 40</f>
        <v>0</v>
      </c>
      <c r="F38" s="1" t="s">
        <v>52</v>
      </c>
    </row>
    <row r="39" spans="1:9" x14ac:dyDescent="0.2">
      <c r="A39" t="s">
        <v>17</v>
      </c>
      <c r="B39" s="8">
        <v>44837</v>
      </c>
      <c r="C39" s="8">
        <v>44904</v>
      </c>
      <c r="D39" s="5">
        <f>ROUNDUP((NETWORKDAYS(B39,C39) / 5),0)</f>
        <v>10</v>
      </c>
      <c r="E39" s="12">
        <f>SUM(G39:N39) / 40</f>
        <v>0</v>
      </c>
      <c r="F39" s="1" t="s">
        <v>52</v>
      </c>
    </row>
    <row r="40" spans="1:9" x14ac:dyDescent="0.2">
      <c r="A40" t="s">
        <v>15</v>
      </c>
      <c r="B40" s="8">
        <v>44837</v>
      </c>
      <c r="C40" s="8">
        <v>44904</v>
      </c>
      <c r="D40" s="5">
        <f>ROUNDUP((NETWORKDAYS(B40,C40) / 5),0)</f>
        <v>10</v>
      </c>
      <c r="E40" s="12">
        <f>SUM(G40:N40) / 40</f>
        <v>0</v>
      </c>
      <c r="F40" s="1" t="s">
        <v>52</v>
      </c>
    </row>
    <row r="41" spans="1:9" x14ac:dyDescent="0.2">
      <c r="A41" t="s">
        <v>12</v>
      </c>
      <c r="B41" s="8">
        <v>44837</v>
      </c>
      <c r="C41" s="8">
        <v>44904</v>
      </c>
      <c r="D41" s="5">
        <f>ROUNDUP((NETWORKDAYS(B41,C41) / 5),0)</f>
        <v>10</v>
      </c>
      <c r="E41" s="12">
        <f>SUM(G41:N41) / 40</f>
        <v>0</v>
      </c>
      <c r="F41" s="1" t="s">
        <v>52</v>
      </c>
    </row>
    <row r="42" spans="1:9" x14ac:dyDescent="0.2">
      <c r="A42" t="s">
        <v>13</v>
      </c>
      <c r="B42" s="8">
        <v>44837</v>
      </c>
      <c r="C42" s="8">
        <v>44904</v>
      </c>
      <c r="D42" s="5">
        <f>ROUNDUP((NETWORKDAYS(B42,C42) / 5),0)</f>
        <v>10</v>
      </c>
      <c r="E42" s="12">
        <f>SUM(G42:N42) / 40</f>
        <v>0</v>
      </c>
      <c r="F42" s="1" t="s">
        <v>52</v>
      </c>
    </row>
  </sheetData>
  <sortState xmlns:xlrd2="http://schemas.microsoft.com/office/spreadsheetml/2017/richdata2" ref="A2:P42">
    <sortCondition ref="F2:F42" customList="Closed,In Progress,Committed,Evaluating,TBD"/>
    <sortCondition ref="B2:B42"/>
    <sortCondition descending="1" ref="C2:C42"/>
  </sortState>
  <dataConsolidate/>
  <dataValidations count="2">
    <dataValidation type="list" allowBlank="1" showInputMessage="1" showErrorMessage="1" sqref="F32:F39 F41:F297" xr:uid="{AAB81E89-DA24-ED49-B993-FBB39C2D1B39}">
      <formula1>"TBD, Committed, In Progress, Closed"</formula1>
    </dataValidation>
    <dataValidation type="list" allowBlank="1" showInputMessage="1" showErrorMessage="1" sqref="F2:F31 F40" xr:uid="{596F1904-8FAC-4449-9018-8A63AACA33D4}">
      <formula1>"TBD, Evaluating, Committed, In Progress, Closed"</formula1>
    </dataValidation>
  </dataValidations>
  <pageMargins left="0.7" right="0.7" top="0.75" bottom="0.75" header="0.3" footer="0.3"/>
  <pageSetup orientation="portrait" horizontalDpi="0" verticalDpi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08CB9-F236-FF46-BD2E-6CCADFDB9C09}">
  <sheetPr codeName="Sheet4"/>
  <dimension ref="A1:H15"/>
  <sheetViews>
    <sheetView workbookViewId="0">
      <selection activeCell="A16" sqref="A16"/>
    </sheetView>
  </sheetViews>
  <sheetFormatPr baseColWidth="10" defaultRowHeight="16" x14ac:dyDescent="0.2"/>
  <cols>
    <col min="1" max="1" width="26" bestFit="1" customWidth="1"/>
    <col min="2" max="2" width="10.83203125" style="9"/>
    <col min="3" max="3" width="10.83203125" style="25"/>
    <col min="4" max="8" width="10.83203125" style="9"/>
  </cols>
  <sheetData>
    <row r="1" spans="1:8" s="11" customFormat="1" x14ac:dyDescent="0.2">
      <c r="A1" s="11" t="s">
        <v>33</v>
      </c>
      <c r="B1" s="3" t="s">
        <v>36</v>
      </c>
      <c r="C1" s="4" t="s">
        <v>70</v>
      </c>
      <c r="D1" s="3" t="s">
        <v>37</v>
      </c>
      <c r="E1" s="3" t="s">
        <v>38</v>
      </c>
      <c r="F1" s="3" t="s">
        <v>39</v>
      </c>
      <c r="G1" s="3" t="s">
        <v>40</v>
      </c>
      <c r="H1" s="3" t="s">
        <v>41</v>
      </c>
    </row>
    <row r="2" spans="1:8" x14ac:dyDescent="0.2">
      <c r="A2" t="s">
        <v>35</v>
      </c>
      <c r="B2" s="9">
        <v>10</v>
      </c>
      <c r="C2" s="25">
        <f>(SUM(D2:H2)) * B2</f>
        <v>140</v>
      </c>
      <c r="D2" s="9">
        <v>2</v>
      </c>
      <c r="G2" s="9">
        <v>4</v>
      </c>
      <c r="H2" s="9">
        <v>8</v>
      </c>
    </row>
    <row r="3" spans="1:8" x14ac:dyDescent="0.2">
      <c r="A3" t="s">
        <v>34</v>
      </c>
      <c r="B3" s="9">
        <v>12</v>
      </c>
      <c r="C3" s="25">
        <f t="shared" ref="C3:C15" si="0">(SUM(D3:H3)) * B3</f>
        <v>168</v>
      </c>
      <c r="D3" s="9">
        <v>2</v>
      </c>
      <c r="E3" s="9">
        <v>4</v>
      </c>
      <c r="H3" s="9">
        <v>8</v>
      </c>
    </row>
    <row r="4" spans="1:8" x14ac:dyDescent="0.2">
      <c r="A4" t="s">
        <v>54</v>
      </c>
      <c r="B4" s="9">
        <v>12</v>
      </c>
      <c r="C4" s="25">
        <f t="shared" si="0"/>
        <v>168</v>
      </c>
      <c r="D4" s="9">
        <v>2</v>
      </c>
      <c r="G4" s="9">
        <v>4</v>
      </c>
      <c r="H4" s="9">
        <v>8</v>
      </c>
    </row>
    <row r="5" spans="1:8" x14ac:dyDescent="0.2">
      <c r="A5" t="s">
        <v>55</v>
      </c>
      <c r="B5" s="9">
        <v>14</v>
      </c>
      <c r="C5" s="25">
        <f t="shared" si="0"/>
        <v>196</v>
      </c>
      <c r="D5" s="9">
        <v>2</v>
      </c>
      <c r="E5" s="9">
        <v>4</v>
      </c>
      <c r="H5" s="9">
        <v>8</v>
      </c>
    </row>
    <row r="6" spans="1:8" x14ac:dyDescent="0.2">
      <c r="A6" t="s">
        <v>42</v>
      </c>
      <c r="B6" s="9">
        <v>14</v>
      </c>
      <c r="C6" s="25">
        <f t="shared" si="0"/>
        <v>364</v>
      </c>
      <c r="D6" s="9">
        <v>2</v>
      </c>
      <c r="E6" s="9">
        <v>4</v>
      </c>
      <c r="F6" s="9">
        <v>8</v>
      </c>
      <c r="G6" s="9">
        <v>4</v>
      </c>
      <c r="H6" s="9">
        <v>8</v>
      </c>
    </row>
    <row r="7" spans="1:8" x14ac:dyDescent="0.2">
      <c r="A7" t="s">
        <v>43</v>
      </c>
      <c r="B7" s="9">
        <v>14</v>
      </c>
      <c r="C7" s="25">
        <f t="shared" si="0"/>
        <v>364</v>
      </c>
      <c r="D7" s="9">
        <v>2</v>
      </c>
      <c r="E7" s="9">
        <v>4</v>
      </c>
      <c r="F7" s="9">
        <v>8</v>
      </c>
      <c r="G7" s="9">
        <v>4</v>
      </c>
      <c r="H7" s="9">
        <v>8</v>
      </c>
    </row>
    <row r="8" spans="1:8" x14ac:dyDescent="0.2">
      <c r="A8" t="s">
        <v>44</v>
      </c>
      <c r="B8" s="9">
        <v>10</v>
      </c>
      <c r="C8" s="25">
        <f t="shared" si="0"/>
        <v>180</v>
      </c>
      <c r="D8" s="9">
        <v>2</v>
      </c>
      <c r="E8" s="9">
        <v>4</v>
      </c>
      <c r="F8" s="9">
        <v>8</v>
      </c>
      <c r="H8" s="9">
        <v>4</v>
      </c>
    </row>
    <row r="9" spans="1:8" x14ac:dyDescent="0.2">
      <c r="A9" t="s">
        <v>46</v>
      </c>
      <c r="B9" s="9">
        <v>8</v>
      </c>
      <c r="C9" s="25">
        <f t="shared" si="0"/>
        <v>208</v>
      </c>
      <c r="D9" s="9">
        <v>2</v>
      </c>
      <c r="E9" s="9">
        <v>4</v>
      </c>
      <c r="G9" s="9">
        <v>4</v>
      </c>
      <c r="H9" s="9">
        <v>16</v>
      </c>
    </row>
    <row r="10" spans="1:8" x14ac:dyDescent="0.2">
      <c r="A10" t="s">
        <v>47</v>
      </c>
      <c r="B10" s="9">
        <v>10</v>
      </c>
      <c r="C10" s="25">
        <f t="shared" si="0"/>
        <v>220</v>
      </c>
      <c r="D10" s="9">
        <v>2</v>
      </c>
      <c r="E10" s="9">
        <v>4</v>
      </c>
      <c r="F10" s="9">
        <v>8</v>
      </c>
      <c r="H10" s="9">
        <v>8</v>
      </c>
    </row>
    <row r="11" spans="1:8" x14ac:dyDescent="0.2">
      <c r="A11" t="s">
        <v>48</v>
      </c>
      <c r="B11" s="9">
        <v>6</v>
      </c>
      <c r="C11" s="25">
        <f t="shared" si="0"/>
        <v>84</v>
      </c>
      <c r="D11" s="9">
        <v>2</v>
      </c>
      <c r="G11" s="9">
        <v>4</v>
      </c>
      <c r="H11" s="9">
        <v>8</v>
      </c>
    </row>
    <row r="12" spans="1:8" x14ac:dyDescent="0.2">
      <c r="A12" t="s">
        <v>49</v>
      </c>
      <c r="B12" s="9">
        <v>6</v>
      </c>
      <c r="C12" s="25">
        <f t="shared" si="0"/>
        <v>84</v>
      </c>
      <c r="D12" s="9">
        <v>2</v>
      </c>
      <c r="E12" s="9">
        <v>4</v>
      </c>
      <c r="F12" s="9">
        <v>8</v>
      </c>
    </row>
    <row r="13" spans="1:8" x14ac:dyDescent="0.2">
      <c r="A13" t="s">
        <v>45</v>
      </c>
      <c r="B13" s="9">
        <v>4</v>
      </c>
      <c r="C13" s="25">
        <f t="shared" si="0"/>
        <v>56</v>
      </c>
      <c r="D13" s="9">
        <v>2</v>
      </c>
      <c r="G13" s="9">
        <v>4</v>
      </c>
      <c r="H13" s="9">
        <v>8</v>
      </c>
    </row>
    <row r="14" spans="1:8" x14ac:dyDescent="0.2">
      <c r="A14" t="s">
        <v>50</v>
      </c>
      <c r="B14" s="9">
        <v>10</v>
      </c>
      <c r="C14" s="25">
        <f t="shared" si="0"/>
        <v>160</v>
      </c>
      <c r="D14" s="9">
        <v>2</v>
      </c>
      <c r="E14" s="9">
        <v>6</v>
      </c>
      <c r="H14" s="9">
        <v>8</v>
      </c>
    </row>
    <row r="15" spans="1:8" x14ac:dyDescent="0.2">
      <c r="A15" t="s">
        <v>51</v>
      </c>
      <c r="B15" s="9">
        <v>12</v>
      </c>
      <c r="C15" s="25">
        <f t="shared" si="0"/>
        <v>192</v>
      </c>
      <c r="D15" s="9">
        <v>2</v>
      </c>
      <c r="E15" s="9">
        <v>6</v>
      </c>
      <c r="H15" s="9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A921A-B2C3-C64D-9D14-5F0C2BDE6124}">
  <sheetPr codeName="Sheet6"/>
  <dimension ref="A1:C38"/>
  <sheetViews>
    <sheetView workbookViewId="0">
      <selection activeCell="A6" sqref="A6"/>
    </sheetView>
  </sheetViews>
  <sheetFormatPr baseColWidth="10" defaultRowHeight="16" x14ac:dyDescent="0.2"/>
  <cols>
    <col min="1" max="3" width="15.83203125" customWidth="1"/>
    <col min="4" max="5" width="13" bestFit="1" customWidth="1"/>
  </cols>
  <sheetData>
    <row r="1" spans="1:3" x14ac:dyDescent="0.2">
      <c r="A1" s="41" t="s">
        <v>7</v>
      </c>
      <c r="B1" s="42"/>
      <c r="C1" s="43"/>
    </row>
    <row r="2" spans="1:3" x14ac:dyDescent="0.2">
      <c r="A2" s="44">
        <v>44564</v>
      </c>
      <c r="B2" s="45"/>
      <c r="C2" s="46"/>
    </row>
    <row r="4" spans="1:3" x14ac:dyDescent="0.2">
      <c r="A4" s="41" t="s">
        <v>6</v>
      </c>
      <c r="B4" s="42"/>
      <c r="C4" s="43"/>
    </row>
    <row r="5" spans="1:3" x14ac:dyDescent="0.2">
      <c r="A5" s="14">
        <v>1</v>
      </c>
      <c r="B5" s="14">
        <v>0.85</v>
      </c>
      <c r="C5" s="14">
        <v>0.65</v>
      </c>
    </row>
    <row r="6" spans="1:3" x14ac:dyDescent="0.2">
      <c r="A6" s="15">
        <v>8.5</v>
      </c>
      <c r="B6" s="15">
        <v>7.25</v>
      </c>
      <c r="C6" s="15">
        <v>5.5</v>
      </c>
    </row>
    <row r="7" spans="1:3" x14ac:dyDescent="0.2">
      <c r="A7" s="13"/>
      <c r="B7" s="13"/>
      <c r="C7" s="13"/>
    </row>
    <row r="8" spans="1:3" x14ac:dyDescent="0.2">
      <c r="A8" s="19"/>
      <c r="B8" s="13"/>
      <c r="C8" s="13"/>
    </row>
    <row r="12" spans="1:3" x14ac:dyDescent="0.2">
      <c r="A12" s="22"/>
      <c r="B12" s="22"/>
      <c r="C12" s="22"/>
    </row>
    <row r="13" spans="1:3" x14ac:dyDescent="0.2">
      <c r="A13" s="22"/>
      <c r="B13" s="22"/>
      <c r="C13" s="22"/>
    </row>
    <row r="14" spans="1:3" x14ac:dyDescent="0.2">
      <c r="A14" s="22"/>
      <c r="B14" s="22"/>
      <c r="C14" s="22"/>
    </row>
    <row r="15" spans="1:3" x14ac:dyDescent="0.2">
      <c r="A15" s="22"/>
      <c r="B15" s="22"/>
      <c r="C15" s="22"/>
    </row>
    <row r="16" spans="1:3" x14ac:dyDescent="0.2">
      <c r="A16" s="22"/>
      <c r="B16" s="22"/>
      <c r="C16" s="22"/>
    </row>
    <row r="17" spans="1:3" x14ac:dyDescent="0.2">
      <c r="A17" s="22"/>
      <c r="B17" s="22"/>
      <c r="C17" s="22"/>
    </row>
    <row r="18" spans="1:3" x14ac:dyDescent="0.2">
      <c r="A18" s="22"/>
      <c r="B18" s="22"/>
      <c r="C18" s="22"/>
    </row>
    <row r="19" spans="1:3" x14ac:dyDescent="0.2">
      <c r="A19" s="22"/>
      <c r="B19" s="22"/>
      <c r="C19" s="22"/>
    </row>
    <row r="20" spans="1:3" x14ac:dyDescent="0.2">
      <c r="A20" s="22"/>
      <c r="B20" s="22"/>
      <c r="C20" s="22"/>
    </row>
    <row r="21" spans="1:3" x14ac:dyDescent="0.2">
      <c r="A21" s="22"/>
      <c r="B21" s="22"/>
      <c r="C21" s="22"/>
    </row>
    <row r="22" spans="1:3" x14ac:dyDescent="0.2">
      <c r="A22" s="22"/>
      <c r="B22" s="22"/>
      <c r="C22" s="22"/>
    </row>
    <row r="23" spans="1:3" x14ac:dyDescent="0.2">
      <c r="A23" s="22"/>
      <c r="B23" s="22"/>
      <c r="C23" s="22"/>
    </row>
    <row r="24" spans="1:3" x14ac:dyDescent="0.2">
      <c r="A24" s="22"/>
      <c r="B24" s="22"/>
      <c r="C24" s="22"/>
    </row>
    <row r="25" spans="1:3" x14ac:dyDescent="0.2">
      <c r="A25" s="22"/>
      <c r="B25" s="22"/>
      <c r="C25" s="22"/>
    </row>
    <row r="26" spans="1:3" x14ac:dyDescent="0.2">
      <c r="A26" s="22"/>
      <c r="B26" s="22"/>
      <c r="C26" s="22"/>
    </row>
    <row r="27" spans="1:3" x14ac:dyDescent="0.2">
      <c r="A27" s="22"/>
      <c r="B27" s="22"/>
      <c r="C27" s="22"/>
    </row>
    <row r="28" spans="1:3" x14ac:dyDescent="0.2">
      <c r="A28" s="22"/>
      <c r="B28" s="22"/>
      <c r="C28" s="22"/>
    </row>
    <row r="29" spans="1:3" x14ac:dyDescent="0.2">
      <c r="A29" s="22"/>
      <c r="B29" s="22"/>
      <c r="C29" s="22"/>
    </row>
    <row r="30" spans="1:3" x14ac:dyDescent="0.2">
      <c r="A30" s="22"/>
      <c r="B30" s="22"/>
      <c r="C30" s="22"/>
    </row>
    <row r="31" spans="1:3" x14ac:dyDescent="0.2">
      <c r="A31" s="22"/>
      <c r="B31" s="22"/>
      <c r="C31" s="22"/>
    </row>
    <row r="32" spans="1:3" x14ac:dyDescent="0.2">
      <c r="A32" s="22"/>
      <c r="B32" s="22"/>
      <c r="C32" s="22"/>
    </row>
    <row r="33" spans="1:3" x14ac:dyDescent="0.2">
      <c r="A33" s="22"/>
      <c r="B33" s="22"/>
      <c r="C33" s="22"/>
    </row>
    <row r="34" spans="1:3" x14ac:dyDescent="0.2">
      <c r="A34" s="22"/>
      <c r="B34" s="22"/>
      <c r="C34" s="22"/>
    </row>
    <row r="35" spans="1:3" x14ac:dyDescent="0.2">
      <c r="A35" s="22"/>
      <c r="B35" s="22"/>
      <c r="C35" s="22"/>
    </row>
    <row r="36" spans="1:3" x14ac:dyDescent="0.2">
      <c r="A36" s="22"/>
      <c r="B36" s="22"/>
      <c r="C36" s="22"/>
    </row>
    <row r="38" spans="1:3" x14ac:dyDescent="0.2">
      <c r="A38" s="40"/>
      <c r="B38" s="40"/>
      <c r="C38" s="40"/>
    </row>
  </sheetData>
  <mergeCells count="4">
    <mergeCell ref="A38:C38"/>
    <mergeCell ref="A1:C1"/>
    <mergeCell ref="A2:C2"/>
    <mergeCell ref="A4:C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Forecast.Forecast">
                <anchor moveWithCells="1" sizeWithCells="1">
                  <from>
                    <xdr:col>1</xdr:col>
                    <xdr:colOff>635000</xdr:colOff>
                    <xdr:row>7</xdr:row>
                    <xdr:rowOff>76200</xdr:rowOff>
                  </from>
                  <to>
                    <xdr:col>2</xdr:col>
                    <xdr:colOff>1104900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8F18A-E039-354C-9C99-CC5C26D7758B}">
  <sheetPr codeName="Sheet5"/>
  <dimension ref="A1:BB42"/>
  <sheetViews>
    <sheetView workbookViewId="0">
      <pane xSplit="1" ySplit="5" topLeftCell="AE16" activePane="bottomRight" state="frozen"/>
      <selection pane="topRight" activeCell="D1" sqref="D1"/>
      <selection pane="bottomLeft" activeCell="A10" sqref="A10"/>
      <selection pane="bottomRight" activeCell="A20" sqref="A20:XFD20"/>
    </sheetView>
  </sheetViews>
  <sheetFormatPr baseColWidth="10" defaultRowHeight="16" x14ac:dyDescent="0.2"/>
  <cols>
    <col min="1" max="1" width="45.1640625" bestFit="1" customWidth="1"/>
    <col min="2" max="3" width="13" hidden="1" customWidth="1"/>
    <col min="4" max="30" width="10.83203125" hidden="1" customWidth="1"/>
  </cols>
  <sheetData>
    <row r="1" spans="1:54" x14ac:dyDescent="0.2">
      <c r="A1" s="47" t="s">
        <v>65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/>
      <c r="AN1" s="47"/>
      <c r="AO1" s="47"/>
      <c r="AP1" s="47"/>
      <c r="AQ1" s="47"/>
      <c r="AR1" s="47"/>
      <c r="AS1" s="47"/>
      <c r="AT1" s="47"/>
      <c r="AU1" s="47"/>
      <c r="AV1" s="47"/>
      <c r="AW1" s="47"/>
      <c r="AX1" s="47"/>
      <c r="AY1" s="47"/>
      <c r="AZ1" s="47"/>
      <c r="BA1" s="47"/>
      <c r="BB1" s="47"/>
    </row>
    <row r="2" spans="1:54" x14ac:dyDescent="0.2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</row>
    <row r="3" spans="1:54" x14ac:dyDescent="0.2">
      <c r="A3" s="19"/>
      <c r="B3" s="49" t="s">
        <v>27</v>
      </c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50" t="s">
        <v>28</v>
      </c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1" t="s">
        <v>29</v>
      </c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48" t="s">
        <v>30</v>
      </c>
      <c r="AP3" s="48"/>
      <c r="AQ3" s="48"/>
      <c r="AR3" s="48"/>
      <c r="AS3" s="48"/>
      <c r="AT3" s="48"/>
      <c r="AU3" s="48"/>
      <c r="AV3" s="48"/>
      <c r="AW3" s="48"/>
      <c r="AX3" s="48"/>
      <c r="AY3" s="48"/>
      <c r="AZ3" s="48"/>
      <c r="BA3" s="48"/>
      <c r="BB3" s="10"/>
    </row>
    <row r="4" spans="1:54" x14ac:dyDescent="0.2">
      <c r="B4" s="20">
        <v>1</v>
      </c>
      <c r="C4" s="16">
        <f>B4+1</f>
        <v>2</v>
      </c>
      <c r="D4" s="16">
        <f t="shared" ref="D4:AZ4" si="0">C4+1</f>
        <v>3</v>
      </c>
      <c r="E4" s="16">
        <f t="shared" si="0"/>
        <v>4</v>
      </c>
      <c r="F4" s="16">
        <f t="shared" si="0"/>
        <v>5</v>
      </c>
      <c r="G4" s="16">
        <f t="shared" si="0"/>
        <v>6</v>
      </c>
      <c r="H4" s="16">
        <f t="shared" si="0"/>
        <v>7</v>
      </c>
      <c r="I4" s="16">
        <f t="shared" si="0"/>
        <v>8</v>
      </c>
      <c r="J4" s="16">
        <f t="shared" si="0"/>
        <v>9</v>
      </c>
      <c r="K4" s="16">
        <f t="shared" si="0"/>
        <v>10</v>
      </c>
      <c r="L4" s="16">
        <f t="shared" si="0"/>
        <v>11</v>
      </c>
      <c r="M4" s="16">
        <f>L4+1</f>
        <v>12</v>
      </c>
      <c r="N4" s="16">
        <f t="shared" si="0"/>
        <v>13</v>
      </c>
      <c r="O4" s="16">
        <f t="shared" si="0"/>
        <v>14</v>
      </c>
      <c r="P4" s="16">
        <f t="shared" si="0"/>
        <v>15</v>
      </c>
      <c r="Q4" s="16">
        <f t="shared" si="0"/>
        <v>16</v>
      </c>
      <c r="R4" s="16">
        <f t="shared" si="0"/>
        <v>17</v>
      </c>
      <c r="S4" s="16">
        <f t="shared" si="0"/>
        <v>18</v>
      </c>
      <c r="T4" s="16">
        <f t="shared" si="0"/>
        <v>19</v>
      </c>
      <c r="U4" s="16">
        <f t="shared" si="0"/>
        <v>20</v>
      </c>
      <c r="V4" s="16">
        <f t="shared" si="0"/>
        <v>21</v>
      </c>
      <c r="W4" s="16">
        <f>V4+1</f>
        <v>22</v>
      </c>
      <c r="X4" s="16">
        <f t="shared" si="0"/>
        <v>23</v>
      </c>
      <c r="Y4" s="16">
        <f t="shared" si="0"/>
        <v>24</v>
      </c>
      <c r="Z4" s="16">
        <f t="shared" si="0"/>
        <v>25</v>
      </c>
      <c r="AA4" s="16">
        <f t="shared" si="0"/>
        <v>26</v>
      </c>
      <c r="AB4" s="16">
        <f t="shared" si="0"/>
        <v>27</v>
      </c>
      <c r="AC4" s="16">
        <f t="shared" si="0"/>
        <v>28</v>
      </c>
      <c r="AD4" s="16">
        <f t="shared" si="0"/>
        <v>29</v>
      </c>
      <c r="AE4" s="16">
        <f t="shared" si="0"/>
        <v>30</v>
      </c>
      <c r="AF4" s="16">
        <f t="shared" si="0"/>
        <v>31</v>
      </c>
      <c r="AG4" s="16">
        <f>AF4+1</f>
        <v>32</v>
      </c>
      <c r="AH4" s="16">
        <f t="shared" si="0"/>
        <v>33</v>
      </c>
      <c r="AI4" s="16">
        <f t="shared" si="0"/>
        <v>34</v>
      </c>
      <c r="AJ4" s="16">
        <f t="shared" si="0"/>
        <v>35</v>
      </c>
      <c r="AK4" s="16">
        <f t="shared" si="0"/>
        <v>36</v>
      </c>
      <c r="AL4" s="16">
        <f t="shared" si="0"/>
        <v>37</v>
      </c>
      <c r="AM4" s="16">
        <f t="shared" si="0"/>
        <v>38</v>
      </c>
      <c r="AN4" s="16">
        <f>AM4+1</f>
        <v>39</v>
      </c>
      <c r="AO4" s="16">
        <f t="shared" si="0"/>
        <v>40</v>
      </c>
      <c r="AP4" s="16">
        <f t="shared" si="0"/>
        <v>41</v>
      </c>
      <c r="AQ4" s="16">
        <f t="shared" si="0"/>
        <v>42</v>
      </c>
      <c r="AR4" s="16">
        <f t="shared" si="0"/>
        <v>43</v>
      </c>
      <c r="AS4" s="16">
        <f t="shared" si="0"/>
        <v>44</v>
      </c>
      <c r="AT4" s="16">
        <f>AS4+1</f>
        <v>45</v>
      </c>
      <c r="AU4" s="16">
        <f t="shared" si="0"/>
        <v>46</v>
      </c>
      <c r="AV4" s="16">
        <f t="shared" si="0"/>
        <v>47</v>
      </c>
      <c r="AW4" s="16">
        <f t="shared" si="0"/>
        <v>48</v>
      </c>
      <c r="AX4" s="16">
        <f>AW4+1</f>
        <v>49</v>
      </c>
      <c r="AY4" s="16">
        <f t="shared" si="0"/>
        <v>50</v>
      </c>
      <c r="AZ4" s="16">
        <f t="shared" si="0"/>
        <v>51</v>
      </c>
      <c r="BA4" s="16">
        <f>AZ4+1</f>
        <v>52</v>
      </c>
      <c r="BB4" s="16">
        <f>BA4+1</f>
        <v>53</v>
      </c>
    </row>
    <row r="5" spans="1:54" x14ac:dyDescent="0.2">
      <c r="A5" s="23" t="s">
        <v>64</v>
      </c>
      <c r="B5" s="21">
        <f>[0]!firstMondayOfTheYear</f>
        <v>44564</v>
      </c>
      <c r="C5" s="17">
        <f>B5+7</f>
        <v>44571</v>
      </c>
      <c r="D5" s="17">
        <f t="shared" ref="D5:BB5" si="1">C5+7</f>
        <v>44578</v>
      </c>
      <c r="E5" s="17">
        <f t="shared" si="1"/>
        <v>44585</v>
      </c>
      <c r="F5" s="17">
        <f t="shared" si="1"/>
        <v>44592</v>
      </c>
      <c r="G5" s="17">
        <f t="shared" si="1"/>
        <v>44599</v>
      </c>
      <c r="H5" s="17">
        <f t="shared" si="1"/>
        <v>44606</v>
      </c>
      <c r="I5" s="17">
        <f t="shared" si="1"/>
        <v>44613</v>
      </c>
      <c r="J5" s="17">
        <f t="shared" si="1"/>
        <v>44620</v>
      </c>
      <c r="K5" s="17">
        <f t="shared" si="1"/>
        <v>44627</v>
      </c>
      <c r="L5" s="17">
        <f t="shared" si="1"/>
        <v>44634</v>
      </c>
      <c r="M5" s="17">
        <f t="shared" si="1"/>
        <v>44641</v>
      </c>
      <c r="N5" s="17">
        <f t="shared" si="1"/>
        <v>44648</v>
      </c>
      <c r="O5" s="17">
        <f t="shared" si="1"/>
        <v>44655</v>
      </c>
      <c r="P5" s="17">
        <f t="shared" si="1"/>
        <v>44662</v>
      </c>
      <c r="Q5" s="17">
        <f t="shared" si="1"/>
        <v>44669</v>
      </c>
      <c r="R5" s="17">
        <f t="shared" si="1"/>
        <v>44676</v>
      </c>
      <c r="S5" s="17">
        <f>R5+7</f>
        <v>44683</v>
      </c>
      <c r="T5" s="17">
        <f t="shared" si="1"/>
        <v>44690</v>
      </c>
      <c r="U5" s="17">
        <f t="shared" si="1"/>
        <v>44697</v>
      </c>
      <c r="V5" s="17">
        <f t="shared" si="1"/>
        <v>44704</v>
      </c>
      <c r="W5" s="17">
        <f t="shared" si="1"/>
        <v>44711</v>
      </c>
      <c r="X5" s="17">
        <f t="shared" si="1"/>
        <v>44718</v>
      </c>
      <c r="Y5" s="17">
        <f t="shared" si="1"/>
        <v>44725</v>
      </c>
      <c r="Z5" s="17">
        <f t="shared" si="1"/>
        <v>44732</v>
      </c>
      <c r="AA5" s="17">
        <f>Z5+7</f>
        <v>44739</v>
      </c>
      <c r="AB5" s="17">
        <f t="shared" si="1"/>
        <v>44746</v>
      </c>
      <c r="AC5" s="17">
        <f t="shared" si="1"/>
        <v>44753</v>
      </c>
      <c r="AD5" s="17">
        <f t="shared" si="1"/>
        <v>44760</v>
      </c>
      <c r="AE5" s="17">
        <f t="shared" si="1"/>
        <v>44767</v>
      </c>
      <c r="AF5" s="17">
        <f t="shared" si="1"/>
        <v>44774</v>
      </c>
      <c r="AG5" s="17">
        <f t="shared" si="1"/>
        <v>44781</v>
      </c>
      <c r="AH5" s="17">
        <f t="shared" si="1"/>
        <v>44788</v>
      </c>
      <c r="AI5" s="17">
        <f t="shared" si="1"/>
        <v>44795</v>
      </c>
      <c r="AJ5" s="17">
        <f t="shared" si="1"/>
        <v>44802</v>
      </c>
      <c r="AK5" s="17">
        <f t="shared" si="1"/>
        <v>44809</v>
      </c>
      <c r="AL5" s="17">
        <f t="shared" si="1"/>
        <v>44816</v>
      </c>
      <c r="AM5" s="17">
        <f>AL5+7</f>
        <v>44823</v>
      </c>
      <c r="AN5" s="17">
        <f t="shared" si="1"/>
        <v>44830</v>
      </c>
      <c r="AO5" s="17">
        <f t="shared" si="1"/>
        <v>44837</v>
      </c>
      <c r="AP5" s="17">
        <f t="shared" si="1"/>
        <v>44844</v>
      </c>
      <c r="AQ5" s="17">
        <f t="shared" si="1"/>
        <v>44851</v>
      </c>
      <c r="AR5" s="17">
        <f t="shared" si="1"/>
        <v>44858</v>
      </c>
      <c r="AS5" s="17">
        <f t="shared" si="1"/>
        <v>44865</v>
      </c>
      <c r="AT5" s="17">
        <f t="shared" si="1"/>
        <v>44872</v>
      </c>
      <c r="AU5" s="17">
        <f t="shared" si="1"/>
        <v>44879</v>
      </c>
      <c r="AV5" s="17">
        <f t="shared" si="1"/>
        <v>44886</v>
      </c>
      <c r="AW5" s="17">
        <f t="shared" si="1"/>
        <v>44893</v>
      </c>
      <c r="AX5" s="17">
        <f>AW5+7</f>
        <v>44900</v>
      </c>
      <c r="AY5" s="17">
        <f t="shared" si="1"/>
        <v>44907</v>
      </c>
      <c r="AZ5" s="17">
        <f t="shared" si="1"/>
        <v>44914</v>
      </c>
      <c r="BA5" s="17">
        <f t="shared" si="1"/>
        <v>44921</v>
      </c>
      <c r="BB5" s="17">
        <f t="shared" si="1"/>
        <v>44928</v>
      </c>
    </row>
    <row r="6" spans="1:54" s="12" customFormat="1" x14ac:dyDescent="0.2">
      <c r="A6" s="29" t="s">
        <v>56</v>
      </c>
      <c r="B6" s="30">
        <v>1</v>
      </c>
      <c r="C6" s="30">
        <v>1</v>
      </c>
      <c r="D6" s="30">
        <v>1</v>
      </c>
      <c r="E6" s="30">
        <v>1</v>
      </c>
      <c r="F6" s="30">
        <v>1</v>
      </c>
      <c r="G6" s="30">
        <v>1</v>
      </c>
      <c r="H6" s="30">
        <v>1</v>
      </c>
      <c r="I6" s="30">
        <v>1</v>
      </c>
      <c r="J6" s="30">
        <v>1</v>
      </c>
      <c r="K6" s="30">
        <v>1</v>
      </c>
      <c r="L6" s="30">
        <v>1</v>
      </c>
      <c r="M6" s="30">
        <v>1</v>
      </c>
      <c r="N6" s="30">
        <v>1</v>
      </c>
      <c r="O6" s="30">
        <v>1</v>
      </c>
      <c r="P6" s="30">
        <v>1</v>
      </c>
      <c r="Q6" s="30">
        <v>1</v>
      </c>
      <c r="R6" s="30">
        <v>1</v>
      </c>
      <c r="S6" s="30">
        <v>1</v>
      </c>
      <c r="T6" s="30">
        <v>1</v>
      </c>
      <c r="U6" s="30">
        <v>1</v>
      </c>
      <c r="V6" s="30">
        <v>1</v>
      </c>
      <c r="W6" s="30">
        <v>1</v>
      </c>
      <c r="X6" s="30">
        <v>1</v>
      </c>
      <c r="Y6" s="30">
        <v>1</v>
      </c>
      <c r="Z6" s="30">
        <v>1</v>
      </c>
      <c r="AA6" s="30">
        <v>1</v>
      </c>
      <c r="AB6" s="30">
        <v>1</v>
      </c>
      <c r="AC6" s="30">
        <v>1</v>
      </c>
      <c r="AD6" s="30">
        <v>1</v>
      </c>
      <c r="AE6" s="30">
        <v>1</v>
      </c>
      <c r="AF6" s="30">
        <v>1</v>
      </c>
      <c r="AG6" s="30">
        <v>1</v>
      </c>
      <c r="AH6" s="30">
        <v>1</v>
      </c>
      <c r="AI6" s="30">
        <v>1</v>
      </c>
      <c r="AJ6" s="30">
        <v>1</v>
      </c>
      <c r="AK6" s="30">
        <v>1</v>
      </c>
      <c r="AL6" s="30">
        <v>1</v>
      </c>
      <c r="AM6" s="30">
        <v>1</v>
      </c>
      <c r="AN6" s="30">
        <v>1</v>
      </c>
      <c r="AO6" s="30">
        <v>1</v>
      </c>
      <c r="AP6" s="30">
        <v>1</v>
      </c>
      <c r="AQ6" s="30">
        <v>1</v>
      </c>
      <c r="AR6" s="30">
        <v>1</v>
      </c>
      <c r="AS6" s="30">
        <v>1</v>
      </c>
      <c r="AT6" s="30">
        <v>1</v>
      </c>
      <c r="AU6" s="30">
        <v>1</v>
      </c>
      <c r="AV6" s="30">
        <v>1</v>
      </c>
      <c r="AW6" s="30">
        <v>1</v>
      </c>
      <c r="AX6" s="30">
        <v>1</v>
      </c>
      <c r="AY6" s="30">
        <v>1</v>
      </c>
      <c r="AZ6" s="30">
        <v>1</v>
      </c>
      <c r="BA6" s="30">
        <v>1</v>
      </c>
    </row>
    <row r="7" spans="1:54" s="12" customFormat="1" x14ac:dyDescent="0.2">
      <c r="A7" s="31" t="s">
        <v>9</v>
      </c>
      <c r="B7" s="32">
        <v>0.25</v>
      </c>
      <c r="C7" s="32">
        <v>0.25</v>
      </c>
      <c r="D7" s="32">
        <v>0.25</v>
      </c>
      <c r="E7" s="32">
        <v>0.25</v>
      </c>
      <c r="F7" s="32">
        <v>0.25</v>
      </c>
      <c r="G7" s="32">
        <v>0.25</v>
      </c>
      <c r="H7" s="32">
        <v>0.25</v>
      </c>
      <c r="I7" s="32">
        <v>0.25</v>
      </c>
      <c r="J7" s="32">
        <v>0.25</v>
      </c>
      <c r="K7" s="32">
        <v>0.25</v>
      </c>
      <c r="L7" s="32">
        <v>0.25</v>
      </c>
      <c r="M7" s="32">
        <v>0.25</v>
      </c>
      <c r="N7" s="32">
        <v>0.25</v>
      </c>
      <c r="O7" s="32">
        <v>0.25</v>
      </c>
      <c r="P7" s="32">
        <v>0.25</v>
      </c>
      <c r="Q7" s="32">
        <v>0.25</v>
      </c>
      <c r="R7" s="32">
        <v>0.25</v>
      </c>
      <c r="S7" s="32">
        <v>0.25</v>
      </c>
      <c r="T7" s="32">
        <v>0.25</v>
      </c>
      <c r="U7" s="32">
        <v>0.25</v>
      </c>
      <c r="V7" s="32">
        <v>0.25</v>
      </c>
      <c r="W7" s="32">
        <v>0.25</v>
      </c>
      <c r="X7" s="32">
        <v>0.25</v>
      </c>
      <c r="Y7" s="32">
        <v>0.25</v>
      </c>
      <c r="Z7" s="32">
        <v>0.25</v>
      </c>
      <c r="AA7" s="32">
        <v>0.25</v>
      </c>
      <c r="AB7" s="32">
        <v>0.25</v>
      </c>
      <c r="AC7" s="32">
        <v>0.25</v>
      </c>
      <c r="AD7" s="32">
        <v>0.25</v>
      </c>
      <c r="AE7" s="32">
        <v>0.25</v>
      </c>
      <c r="AF7" s="32">
        <v>0.25</v>
      </c>
      <c r="AG7" s="32">
        <v>0.25</v>
      </c>
      <c r="AH7" s="32">
        <v>0.25</v>
      </c>
      <c r="AI7" s="32">
        <v>0.25</v>
      </c>
      <c r="AJ7" s="32">
        <v>0.25</v>
      </c>
      <c r="AK7" s="32">
        <v>0.25</v>
      </c>
      <c r="AL7" s="32">
        <v>0.25</v>
      </c>
      <c r="AM7" s="32">
        <v>0.25</v>
      </c>
      <c r="AN7" s="32">
        <v>0.25</v>
      </c>
      <c r="AO7" s="32">
        <v>0.25</v>
      </c>
      <c r="AP7" s="32">
        <v>0.25</v>
      </c>
      <c r="AQ7" s="32">
        <v>0.25</v>
      </c>
      <c r="AR7" s="32">
        <v>0.25</v>
      </c>
      <c r="AS7" s="32">
        <v>0.25</v>
      </c>
      <c r="AT7" s="32">
        <v>0.25</v>
      </c>
      <c r="AU7" s="32">
        <v>0.25</v>
      </c>
      <c r="AV7" s="32">
        <v>0.25</v>
      </c>
      <c r="AW7" s="32">
        <v>0.25</v>
      </c>
      <c r="AX7" s="32">
        <v>0.25</v>
      </c>
      <c r="AY7" s="32">
        <v>0.25</v>
      </c>
      <c r="AZ7" s="32">
        <v>0.25</v>
      </c>
      <c r="BA7" s="32">
        <v>0.25</v>
      </c>
    </row>
    <row r="8" spans="1:54" s="12" customFormat="1" x14ac:dyDescent="0.2">
      <c r="A8" s="29" t="s">
        <v>0</v>
      </c>
      <c r="B8" s="30">
        <v>0.20000000298023224</v>
      </c>
      <c r="C8" s="30">
        <v>0.20000000298023224</v>
      </c>
      <c r="D8" s="30">
        <v>0.20000000298023224</v>
      </c>
      <c r="E8" s="30">
        <v>0.20000000298023224</v>
      </c>
      <c r="F8" s="30">
        <v>0.20000000298023224</v>
      </c>
      <c r="G8" s="30">
        <v>0.20000000298023224</v>
      </c>
      <c r="H8" s="30">
        <v>0.20000000298023224</v>
      </c>
      <c r="I8" s="30">
        <v>0.20000000298023224</v>
      </c>
      <c r="J8" s="30">
        <v>0.20000000298023224</v>
      </c>
      <c r="K8" s="30">
        <v>0.20000000298023224</v>
      </c>
      <c r="L8" s="30">
        <v>0.20000000298023224</v>
      </c>
      <c r="M8" s="30">
        <v>0.20000000298023224</v>
      </c>
      <c r="N8" s="30">
        <v>0.20000000298023224</v>
      </c>
      <c r="O8" s="30">
        <v>0.20000000298023224</v>
      </c>
      <c r="P8" s="30">
        <v>0.20000000298023224</v>
      </c>
      <c r="Q8" s="30">
        <v>0.20000000298023224</v>
      </c>
      <c r="R8" s="30">
        <v>0.20000000298023224</v>
      </c>
      <c r="S8" s="30">
        <v>0.20000000298023224</v>
      </c>
      <c r="T8" s="30">
        <v>0.20000000298023224</v>
      </c>
      <c r="U8" s="30">
        <v>0.20000000298023224</v>
      </c>
      <c r="V8" s="30">
        <v>0.20000000298023224</v>
      </c>
      <c r="W8" s="30">
        <v>0.20000000298023224</v>
      </c>
      <c r="X8" s="30">
        <v>0.20000000298023224</v>
      </c>
      <c r="Y8" s="30">
        <v>0.20000000298023224</v>
      </c>
      <c r="Z8" s="30">
        <v>0.20000000298023224</v>
      </c>
      <c r="AA8" s="30">
        <v>0.20000000298023224</v>
      </c>
      <c r="AB8" s="30">
        <v>0.20000000298023224</v>
      </c>
      <c r="AC8" s="30">
        <v>0.20000000298023224</v>
      </c>
      <c r="AD8" s="30">
        <v>0.20000000298023224</v>
      </c>
      <c r="AE8" s="30">
        <v>0.20000000298023224</v>
      </c>
    </row>
    <row r="9" spans="1:54" s="12" customFormat="1" x14ac:dyDescent="0.2">
      <c r="A9" s="31" t="s">
        <v>1</v>
      </c>
      <c r="B9" s="32">
        <v>0.34999999403953552</v>
      </c>
      <c r="C9" s="32">
        <v>0.34999999403953552</v>
      </c>
      <c r="D9" s="32">
        <v>0.34999999403953552</v>
      </c>
      <c r="E9" s="32">
        <v>0.34999999403953552</v>
      </c>
      <c r="F9" s="32">
        <v>0.34999999403953552</v>
      </c>
      <c r="G9" s="32">
        <v>0.34999999403953552</v>
      </c>
      <c r="H9" s="32">
        <v>0.34999999403953552</v>
      </c>
      <c r="I9" s="32">
        <v>0.34999999403953552</v>
      </c>
      <c r="J9" s="32">
        <v>0.34999999403953552</v>
      </c>
      <c r="K9" s="32">
        <v>0.34999999403953552</v>
      </c>
      <c r="L9" s="32">
        <v>0.34999999403953552</v>
      </c>
      <c r="M9" s="32">
        <v>0.34999999403953552</v>
      </c>
      <c r="N9" s="32">
        <v>0.34999999403953552</v>
      </c>
      <c r="O9" s="32">
        <v>0.34999999403953552</v>
      </c>
      <c r="P9" s="32">
        <v>0.34999999403953552</v>
      </c>
      <c r="Q9" s="32">
        <v>0.34999999403953552</v>
      </c>
      <c r="R9" s="32">
        <v>0.34999999403953552</v>
      </c>
      <c r="S9" s="32">
        <v>0.34999999403953552</v>
      </c>
      <c r="T9" s="32">
        <v>0.34999999403953552</v>
      </c>
      <c r="U9" s="32">
        <v>0.34999999403953552</v>
      </c>
      <c r="V9" s="32">
        <v>0.34999999403953552</v>
      </c>
      <c r="W9" s="32">
        <v>0.34999999403953552</v>
      </c>
      <c r="X9" s="32">
        <v>0.34999999403953552</v>
      </c>
      <c r="Y9" s="32">
        <v>0.34999999403953552</v>
      </c>
      <c r="Z9" s="32">
        <v>0.34999999403953552</v>
      </c>
      <c r="AA9" s="32">
        <v>0.34999999403953552</v>
      </c>
      <c r="AB9" s="32">
        <v>0.34999999403953552</v>
      </c>
      <c r="AC9" s="32">
        <v>0.34999999403953552</v>
      </c>
      <c r="AD9" s="32">
        <v>0.34999999403953552</v>
      </c>
      <c r="AE9" s="32">
        <v>0.34999999403953552</v>
      </c>
      <c r="AF9" s="32">
        <v>0.34999999403953552</v>
      </c>
      <c r="AG9" s="32">
        <v>0.34999999403953552</v>
      </c>
      <c r="AH9" s="32">
        <v>0.34999999403953552</v>
      </c>
      <c r="AI9" s="32">
        <v>0.34999999403953552</v>
      </c>
      <c r="AJ9" s="32">
        <v>0.34999999403953552</v>
      </c>
      <c r="AK9" s="32">
        <v>0.34999999403953552</v>
      </c>
      <c r="AL9" s="32">
        <v>0.34999999403953552</v>
      </c>
      <c r="AM9" s="32">
        <v>0.34999999403953552</v>
      </c>
    </row>
    <row r="10" spans="1:54" s="12" customFormat="1" x14ac:dyDescent="0.2">
      <c r="A10" s="29" t="s">
        <v>10</v>
      </c>
      <c r="B10" s="30">
        <v>0.125</v>
      </c>
      <c r="C10" s="30">
        <v>0.125</v>
      </c>
      <c r="D10" s="30">
        <v>0.125</v>
      </c>
      <c r="E10" s="30">
        <v>0.125</v>
      </c>
      <c r="F10" s="30">
        <v>0.125</v>
      </c>
      <c r="G10" s="30">
        <v>0.125</v>
      </c>
      <c r="H10" s="30">
        <v>0.125</v>
      </c>
      <c r="I10" s="30">
        <v>0.125</v>
      </c>
      <c r="J10" s="30">
        <v>0.125</v>
      </c>
      <c r="K10" s="30">
        <v>0.125</v>
      </c>
      <c r="L10" s="30">
        <v>0.125</v>
      </c>
      <c r="M10" s="30">
        <v>0.125</v>
      </c>
      <c r="N10" s="30">
        <v>0.125</v>
      </c>
      <c r="O10" s="30">
        <v>0.125</v>
      </c>
      <c r="P10" s="30">
        <v>0.125</v>
      </c>
      <c r="Q10" s="30">
        <v>0.125</v>
      </c>
      <c r="R10" s="30">
        <v>0.125</v>
      </c>
      <c r="S10" s="30">
        <v>0.125</v>
      </c>
      <c r="T10" s="30">
        <v>0.125</v>
      </c>
      <c r="U10" s="30">
        <v>0.125</v>
      </c>
      <c r="V10" s="30">
        <v>0.125</v>
      </c>
      <c r="W10" s="30">
        <v>0.125</v>
      </c>
      <c r="X10" s="30">
        <v>0.125</v>
      </c>
      <c r="Y10" s="30">
        <v>0.125</v>
      </c>
      <c r="Z10" s="30">
        <v>0.125</v>
      </c>
      <c r="AA10" s="30">
        <v>0.125</v>
      </c>
      <c r="AB10" s="30">
        <v>0.125</v>
      </c>
      <c r="AC10" s="30">
        <v>0.125</v>
      </c>
      <c r="AD10" s="30">
        <v>0.125</v>
      </c>
      <c r="AE10" s="30">
        <v>0.125</v>
      </c>
    </row>
    <row r="11" spans="1:54" s="12" customFormat="1" x14ac:dyDescent="0.2">
      <c r="A11" s="31" t="s">
        <v>90</v>
      </c>
      <c r="B11" s="32">
        <v>0.10000000149011612</v>
      </c>
      <c r="C11" s="32">
        <v>0.10000000149011612</v>
      </c>
      <c r="D11" s="32">
        <v>0.10000000149011612</v>
      </c>
      <c r="E11" s="32">
        <v>0.10000000149011612</v>
      </c>
      <c r="F11" s="32">
        <v>0.10000000149011612</v>
      </c>
      <c r="G11" s="32">
        <v>0.10000000149011612</v>
      </c>
      <c r="H11" s="32">
        <v>0.10000000149011612</v>
      </c>
      <c r="I11" s="32">
        <v>0.10000000149011612</v>
      </c>
      <c r="J11" s="32">
        <v>0.10000000149011612</v>
      </c>
      <c r="K11" s="32">
        <v>0.10000000149011612</v>
      </c>
      <c r="L11" s="32">
        <v>0.10000000149011612</v>
      </c>
      <c r="M11" s="32">
        <v>0.10000000149011612</v>
      </c>
      <c r="N11" s="32">
        <v>0.10000000149011612</v>
      </c>
      <c r="O11" s="32">
        <v>0.10000000149011612</v>
      </c>
      <c r="P11" s="32">
        <v>0.10000000149011612</v>
      </c>
      <c r="Q11" s="32">
        <v>0.10000000149011612</v>
      </c>
      <c r="R11" s="32">
        <v>0.10000000149011612</v>
      </c>
      <c r="S11" s="32">
        <v>0.10000000149011612</v>
      </c>
      <c r="T11" s="32">
        <v>0.10000000149011612</v>
      </c>
      <c r="U11" s="32">
        <v>0.10000000149011612</v>
      </c>
      <c r="V11" s="32">
        <v>0.10000000149011612</v>
      </c>
      <c r="W11" s="32">
        <v>0.10000000149011612</v>
      </c>
      <c r="X11" s="32">
        <v>0.10000000149011612</v>
      </c>
      <c r="Y11" s="32">
        <v>0.10000000149011612</v>
      </c>
      <c r="Z11" s="32">
        <v>0.10000000149011612</v>
      </c>
      <c r="AA11" s="32">
        <v>0.10000000149011612</v>
      </c>
      <c r="AB11" s="32">
        <v>0.10000000149011612</v>
      </c>
      <c r="AC11" s="32">
        <v>0.10000000149011612</v>
      </c>
      <c r="AD11" s="32">
        <v>0.10000000149011612</v>
      </c>
      <c r="AE11" s="32">
        <v>0.10000000149011612</v>
      </c>
    </row>
    <row r="12" spans="1:54" s="12" customFormat="1" x14ac:dyDescent="0.2">
      <c r="A12" s="29" t="s">
        <v>89</v>
      </c>
      <c r="L12" s="30">
        <v>0.20000000298023224</v>
      </c>
      <c r="M12" s="30">
        <v>0.20000000298023224</v>
      </c>
      <c r="N12" s="30">
        <v>0.20000000298023224</v>
      </c>
      <c r="O12" s="30">
        <v>0.20000000298023224</v>
      </c>
      <c r="P12" s="30">
        <v>0.20000000298023224</v>
      </c>
      <c r="Q12" s="30">
        <v>0.20000000298023224</v>
      </c>
      <c r="R12" s="30">
        <v>0.20000000298023224</v>
      </c>
      <c r="S12" s="30">
        <v>0.20000000298023224</v>
      </c>
      <c r="T12" s="30">
        <v>0.20000000298023224</v>
      </c>
      <c r="U12" s="30">
        <v>0.20000000298023224</v>
      </c>
      <c r="V12" s="30">
        <v>0.20000000298023224</v>
      </c>
      <c r="W12" s="30">
        <v>0.20000000298023224</v>
      </c>
      <c r="X12" s="30">
        <v>0.20000000298023224</v>
      </c>
      <c r="Y12" s="30">
        <v>0.20000000298023224</v>
      </c>
      <c r="Z12" s="30">
        <v>0.20000000298023224</v>
      </c>
      <c r="AA12" s="30">
        <v>0.20000000298023224</v>
      </c>
      <c r="AB12" s="30">
        <v>0.20000000298023224</v>
      </c>
      <c r="AC12" s="30">
        <v>0.20000000298023224</v>
      </c>
      <c r="AD12" s="30">
        <v>0.20000000298023224</v>
      </c>
      <c r="AE12" s="30">
        <v>0.20000000298023224</v>
      </c>
    </row>
    <row r="13" spans="1:54" s="12" customFormat="1" x14ac:dyDescent="0.2">
      <c r="A13" s="31" t="s">
        <v>53</v>
      </c>
      <c r="P13" s="32">
        <v>0.125</v>
      </c>
      <c r="Q13" s="32">
        <v>0.125</v>
      </c>
      <c r="R13" s="32">
        <v>0.125</v>
      </c>
      <c r="S13" s="32">
        <v>0.125</v>
      </c>
      <c r="T13" s="32">
        <v>0.125</v>
      </c>
      <c r="U13" s="32">
        <v>0.125</v>
      </c>
      <c r="V13" s="32">
        <v>0.125</v>
      </c>
      <c r="W13" s="32">
        <v>0.125</v>
      </c>
      <c r="X13" s="32">
        <v>0.125</v>
      </c>
      <c r="Y13" s="32">
        <v>0.125</v>
      </c>
      <c r="Z13" s="32">
        <v>0.125</v>
      </c>
      <c r="AA13" s="32">
        <v>0.125</v>
      </c>
      <c r="AB13" s="32">
        <v>0.125</v>
      </c>
      <c r="AC13" s="32">
        <v>0.125</v>
      </c>
      <c r="AD13" s="32">
        <v>0.125</v>
      </c>
      <c r="AE13" s="32">
        <v>0.125</v>
      </c>
      <c r="AF13" s="32">
        <v>0.125</v>
      </c>
    </row>
    <row r="14" spans="1:54" s="12" customFormat="1" x14ac:dyDescent="0.2">
      <c r="A14" s="29" t="s">
        <v>58</v>
      </c>
      <c r="R14" s="30">
        <v>0.125</v>
      </c>
      <c r="S14" s="30">
        <v>0.125</v>
      </c>
      <c r="T14" s="30">
        <v>0.125</v>
      </c>
      <c r="U14" s="30">
        <v>0.125</v>
      </c>
      <c r="V14" s="30">
        <v>0.125</v>
      </c>
      <c r="W14" s="30">
        <v>0.125</v>
      </c>
      <c r="X14" s="30">
        <v>0.125</v>
      </c>
      <c r="Y14" s="30">
        <v>0.125</v>
      </c>
      <c r="Z14" s="30">
        <v>0.125</v>
      </c>
      <c r="AA14" s="30">
        <v>0.125</v>
      </c>
      <c r="AB14" s="30">
        <v>0.125</v>
      </c>
      <c r="AC14" s="30">
        <v>0.125</v>
      </c>
      <c r="AD14" s="30">
        <v>0.125</v>
      </c>
      <c r="AE14" s="30">
        <v>0.125</v>
      </c>
    </row>
    <row r="15" spans="1:54" s="12" customFormat="1" x14ac:dyDescent="0.2">
      <c r="A15" s="31" t="s">
        <v>11</v>
      </c>
      <c r="S15" s="32">
        <v>0.20000000298023224</v>
      </c>
      <c r="T15" s="32">
        <v>0.20000000298023224</v>
      </c>
      <c r="U15" s="32">
        <v>0.20000000298023224</v>
      </c>
      <c r="V15" s="32">
        <v>0.20000000298023224</v>
      </c>
      <c r="W15" s="32">
        <v>0.20000000298023224</v>
      </c>
      <c r="X15" s="32">
        <v>0.20000000298023224</v>
      </c>
      <c r="Y15" s="32">
        <v>0.20000000298023224</v>
      </c>
      <c r="Z15" s="32">
        <v>0.20000000298023224</v>
      </c>
      <c r="AA15" s="32">
        <v>0.20000000298023224</v>
      </c>
      <c r="AB15" s="32">
        <v>0.20000000298023224</v>
      </c>
      <c r="AC15" s="32">
        <v>0.20000000298023224</v>
      </c>
      <c r="AD15" s="32">
        <v>0.20000000298023224</v>
      </c>
      <c r="AE15" s="32">
        <v>0.20000000298023224</v>
      </c>
      <c r="AF15" s="32">
        <v>0.20000000298023224</v>
      </c>
      <c r="AG15" s="32">
        <v>0.20000000298023224</v>
      </c>
      <c r="AH15" s="32">
        <v>0.20000000298023224</v>
      </c>
      <c r="AI15" s="32">
        <v>0.20000000298023224</v>
      </c>
    </row>
    <row r="16" spans="1:54" s="12" customFormat="1" x14ac:dyDescent="0.2">
      <c r="A16" s="29" t="s">
        <v>18</v>
      </c>
      <c r="S16" s="30">
        <v>0.17499999701976776</v>
      </c>
      <c r="T16" s="30">
        <v>0.17499999701976776</v>
      </c>
      <c r="U16" s="30">
        <v>0.17499999701976776</v>
      </c>
      <c r="V16" s="30">
        <v>0.17499999701976776</v>
      </c>
      <c r="W16" s="30">
        <v>0.17499999701976776</v>
      </c>
      <c r="X16" s="30">
        <v>0.17499999701976776</v>
      </c>
      <c r="Y16" s="30">
        <v>0.17499999701976776</v>
      </c>
      <c r="Z16" s="30">
        <v>0.17499999701976776</v>
      </c>
      <c r="AA16" s="30">
        <v>0.17499999701976776</v>
      </c>
      <c r="AB16" s="30">
        <v>0.17499999701976776</v>
      </c>
      <c r="AC16" s="30">
        <v>0.17499999701976776</v>
      </c>
      <c r="AD16" s="30">
        <v>0.17499999701976776</v>
      </c>
      <c r="AE16" s="30">
        <v>0.17499999701976776</v>
      </c>
      <c r="AF16" s="30">
        <v>0.17499999701976776</v>
      </c>
      <c r="AG16" s="30">
        <v>0.17499999701976776</v>
      </c>
      <c r="AH16" s="30">
        <v>0.17499999701976776</v>
      </c>
      <c r="AI16" s="30">
        <v>0.17499999701976776</v>
      </c>
    </row>
    <row r="17" spans="1:54" s="12" customFormat="1" x14ac:dyDescent="0.2">
      <c r="A17" s="31" t="s">
        <v>72</v>
      </c>
      <c r="T17" s="32">
        <v>0.44999998807907104</v>
      </c>
      <c r="U17" s="32">
        <v>0.44999998807907104</v>
      </c>
      <c r="V17" s="32">
        <v>0.44999998807907104</v>
      </c>
      <c r="W17" s="32">
        <v>0.44999998807907104</v>
      </c>
      <c r="X17" s="32">
        <v>0.44999998807907104</v>
      </c>
      <c r="Y17" s="32">
        <v>0.44999998807907104</v>
      </c>
      <c r="Z17" s="32">
        <v>0.44999998807907104</v>
      </c>
      <c r="AA17" s="32">
        <v>0.44999998807907104</v>
      </c>
      <c r="AB17" s="32">
        <v>0.44999998807907104</v>
      </c>
      <c r="AC17" s="32">
        <v>0.44999998807907104</v>
      </c>
      <c r="AD17" s="32">
        <v>0.44999998807907104</v>
      </c>
      <c r="AE17" s="32">
        <v>0.44999998807907104</v>
      </c>
      <c r="AF17" s="32">
        <v>0.44999998807907104</v>
      </c>
      <c r="AG17" s="32">
        <v>0.44999998807907104</v>
      </c>
      <c r="AH17" s="32">
        <v>0.44999998807907104</v>
      </c>
      <c r="AI17" s="32">
        <v>0.44999998807907104</v>
      </c>
    </row>
    <row r="18" spans="1:54" s="12" customFormat="1" x14ac:dyDescent="0.2">
      <c r="A18" s="29" t="s">
        <v>79</v>
      </c>
      <c r="W18" s="30">
        <v>0.30000001192092896</v>
      </c>
      <c r="X18" s="30">
        <v>0.30000001192092896</v>
      </c>
      <c r="Y18" s="30">
        <v>0.30000001192092896</v>
      </c>
      <c r="Z18" s="30">
        <v>0.30000001192092896</v>
      </c>
      <c r="AA18" s="30">
        <v>0.30000001192092896</v>
      </c>
      <c r="AB18" s="30">
        <v>0.30000001192092896</v>
      </c>
      <c r="AC18" s="30">
        <v>0.30000001192092896</v>
      </c>
      <c r="AD18" s="30">
        <v>0.30000001192092896</v>
      </c>
      <c r="AE18" s="30">
        <v>0.30000001192092896</v>
      </c>
      <c r="AF18" s="30">
        <v>0.30000001192092896</v>
      </c>
      <c r="AG18" s="30">
        <v>0.30000001192092896</v>
      </c>
      <c r="AH18" s="30">
        <v>0.30000001192092896</v>
      </c>
      <c r="AI18" s="30">
        <v>0.30000001192092896</v>
      </c>
      <c r="AJ18" s="30">
        <v>0.30000001192092896</v>
      </c>
      <c r="AK18" s="30">
        <v>0.30000001192092896</v>
      </c>
      <c r="AL18" s="30">
        <v>0.30000001192092896</v>
      </c>
      <c r="AM18" s="30">
        <v>0.30000001192092896</v>
      </c>
      <c r="AN18" s="30">
        <v>0.30000001192092896</v>
      </c>
      <c r="AO18" s="30">
        <v>0.30000001192092896</v>
      </c>
      <c r="AP18" s="30">
        <v>0.30000001192092896</v>
      </c>
    </row>
    <row r="19" spans="1:54" s="12" customFormat="1" x14ac:dyDescent="0.2">
      <c r="A19" s="31" t="s">
        <v>74</v>
      </c>
      <c r="W19" s="32">
        <v>0.34999999403953552</v>
      </c>
      <c r="X19" s="32">
        <v>0.34999999403953552</v>
      </c>
      <c r="Y19" s="32">
        <v>0.34999999403953552</v>
      </c>
      <c r="Z19" s="32">
        <v>0.34999999403953552</v>
      </c>
      <c r="AA19" s="32">
        <v>0.34999999403953552</v>
      </c>
      <c r="AB19" s="32">
        <v>0.34999999403953552</v>
      </c>
      <c r="AC19" s="32">
        <v>0.34999999403953552</v>
      </c>
      <c r="AD19" s="32">
        <v>0.34999999403953552</v>
      </c>
      <c r="AE19" s="32">
        <v>0.34999999403953552</v>
      </c>
      <c r="AF19" s="32">
        <v>0.34999999403953552</v>
      </c>
      <c r="AG19" s="32">
        <v>0.34999999403953552</v>
      </c>
      <c r="AH19" s="32">
        <v>0.34999999403953552</v>
      </c>
      <c r="AI19" s="32">
        <v>0.34999999403953552</v>
      </c>
      <c r="AJ19" s="32">
        <v>0.34999999403953552</v>
      </c>
      <c r="AK19" s="32">
        <v>0.34999999403953552</v>
      </c>
      <c r="AL19" s="32">
        <v>0.34999999403953552</v>
      </c>
      <c r="AM19" s="32">
        <v>0.34999999403953552</v>
      </c>
      <c r="AN19" s="32">
        <v>0.34999999403953552</v>
      </c>
    </row>
    <row r="20" spans="1:54" s="12" customFormat="1" x14ac:dyDescent="0.2">
      <c r="A20" s="29" t="s">
        <v>84</v>
      </c>
      <c r="X20" s="30">
        <v>0.15000000596046448</v>
      </c>
      <c r="Y20" s="30">
        <v>0.15000000596046448</v>
      </c>
      <c r="Z20" s="30">
        <v>0.15000000596046448</v>
      </c>
      <c r="AA20" s="30">
        <v>0.15000000596046448</v>
      </c>
      <c r="AB20" s="30">
        <v>0.15000000596046448</v>
      </c>
      <c r="AC20" s="30">
        <v>0.15000000596046448</v>
      </c>
      <c r="AD20" s="30">
        <v>0.15000000596046448</v>
      </c>
      <c r="AE20" s="30">
        <v>0.15000000596046448</v>
      </c>
    </row>
    <row r="21" spans="1:54" s="12" customFormat="1" x14ac:dyDescent="0.2">
      <c r="A21" s="31" t="s">
        <v>63</v>
      </c>
      <c r="X21" s="32">
        <v>0.10000000149011612</v>
      </c>
      <c r="Y21" s="32">
        <v>0.10000000149011612</v>
      </c>
      <c r="Z21" s="32">
        <v>0.10000000149011612</v>
      </c>
      <c r="AA21" s="32">
        <v>0.10000000149011612</v>
      </c>
      <c r="AB21" s="32">
        <v>0.10000000149011612</v>
      </c>
      <c r="AC21" s="32">
        <v>0.10000000149011612</v>
      </c>
      <c r="AD21" s="32">
        <v>0.10000000149011612</v>
      </c>
      <c r="AE21" s="32">
        <v>0.10000000149011612</v>
      </c>
    </row>
    <row r="22" spans="1:54" s="12" customFormat="1" x14ac:dyDescent="0.2">
      <c r="A22" s="29" t="s">
        <v>62</v>
      </c>
      <c r="Z22" s="30">
        <v>0.125</v>
      </c>
      <c r="AA22" s="30">
        <v>0.125</v>
      </c>
      <c r="AB22" s="30">
        <v>0.125</v>
      </c>
      <c r="AC22" s="30">
        <v>0.125</v>
      </c>
      <c r="AD22" s="30">
        <v>0.125</v>
      </c>
      <c r="AE22" s="30">
        <v>0.125</v>
      </c>
      <c r="AF22" s="30">
        <v>0.125</v>
      </c>
      <c r="AG22" s="30">
        <v>0.125</v>
      </c>
      <c r="AH22" s="30">
        <v>0.125</v>
      </c>
      <c r="AI22" s="30">
        <v>0.125</v>
      </c>
      <c r="AJ22" s="30">
        <v>0.125</v>
      </c>
      <c r="AK22" s="30">
        <v>0.125</v>
      </c>
      <c r="AL22" s="30">
        <v>0.125</v>
      </c>
      <c r="AM22" s="30">
        <v>0.125</v>
      </c>
      <c r="AN22" s="30">
        <v>0.125</v>
      </c>
      <c r="AO22" s="30">
        <v>0.125</v>
      </c>
      <c r="AP22" s="30">
        <v>0.125</v>
      </c>
      <c r="AQ22" s="30">
        <v>0.125</v>
      </c>
      <c r="AR22" s="30">
        <v>0.125</v>
      </c>
      <c r="AS22" s="30">
        <v>0.125</v>
      </c>
      <c r="AT22" s="30">
        <v>0.125</v>
      </c>
      <c r="AU22" s="30">
        <v>0.125</v>
      </c>
      <c r="AV22" s="30">
        <v>0.125</v>
      </c>
      <c r="AW22" s="30">
        <v>0.125</v>
      </c>
      <c r="AX22" s="30">
        <v>0.125</v>
      </c>
      <c r="AY22" s="30">
        <v>0.125</v>
      </c>
      <c r="AZ22" s="30">
        <v>0.125</v>
      </c>
      <c r="BA22" s="30">
        <v>0.125</v>
      </c>
      <c r="BB22" s="30">
        <v>0.125</v>
      </c>
    </row>
    <row r="23" spans="1:54" s="12" customFormat="1" x14ac:dyDescent="0.2">
      <c r="A23" s="31" t="s">
        <v>71</v>
      </c>
      <c r="Z23" s="32">
        <v>0.20000000298023224</v>
      </c>
      <c r="AA23" s="32">
        <v>0.20000000298023224</v>
      </c>
      <c r="AB23" s="32">
        <v>0.20000000298023224</v>
      </c>
      <c r="AC23" s="32">
        <v>0.20000000298023224</v>
      </c>
      <c r="AD23" s="32">
        <v>0.20000000298023224</v>
      </c>
      <c r="AE23" s="32">
        <v>0.20000000298023224</v>
      </c>
      <c r="AF23" s="32">
        <v>0.20000000298023224</v>
      </c>
      <c r="AG23" s="32">
        <v>0.20000000298023224</v>
      </c>
      <c r="AH23" s="32">
        <v>0.20000000298023224</v>
      </c>
      <c r="AI23" s="32">
        <v>0.20000000298023224</v>
      </c>
      <c r="AJ23" s="32">
        <v>0.20000000298023224</v>
      </c>
      <c r="AK23" s="32">
        <v>0.20000000298023224</v>
      </c>
      <c r="AL23" s="32">
        <v>0.20000000298023224</v>
      </c>
      <c r="AM23" s="32">
        <v>0.20000000298023224</v>
      </c>
      <c r="AN23" s="32">
        <v>0.20000000298023224</v>
      </c>
    </row>
    <row r="24" spans="1:54" s="12" customFormat="1" x14ac:dyDescent="0.2">
      <c r="A24" s="29" t="s">
        <v>91</v>
      </c>
      <c r="AB24" s="30">
        <v>1</v>
      </c>
      <c r="AC24" s="30">
        <v>1</v>
      </c>
      <c r="AD24" s="30">
        <v>1</v>
      </c>
      <c r="AE24" s="30">
        <v>1</v>
      </c>
      <c r="AF24" s="30">
        <v>1</v>
      </c>
      <c r="AG24" s="30">
        <v>1</v>
      </c>
      <c r="AH24" s="30">
        <v>1</v>
      </c>
      <c r="AI24" s="30">
        <v>1</v>
      </c>
      <c r="AJ24" s="30">
        <v>1</v>
      </c>
      <c r="AK24" s="30">
        <v>1</v>
      </c>
      <c r="AL24" s="30">
        <v>1</v>
      </c>
      <c r="AM24" s="30">
        <v>1</v>
      </c>
      <c r="AN24" s="30">
        <v>1</v>
      </c>
      <c r="AO24" s="30">
        <v>1</v>
      </c>
      <c r="AP24" s="30">
        <v>1</v>
      </c>
      <c r="AQ24" s="30">
        <v>1</v>
      </c>
      <c r="AR24" s="30">
        <v>1</v>
      </c>
      <c r="AS24" s="30">
        <v>1</v>
      </c>
      <c r="AT24" s="30">
        <v>1</v>
      </c>
      <c r="AU24" s="30">
        <v>1</v>
      </c>
      <c r="AV24" s="30">
        <v>1</v>
      </c>
      <c r="AW24" s="30">
        <v>1</v>
      </c>
      <c r="AX24" s="30">
        <v>1</v>
      </c>
      <c r="AY24" s="30">
        <v>1</v>
      </c>
      <c r="AZ24" s="30">
        <v>1</v>
      </c>
      <c r="BA24" s="30">
        <v>1</v>
      </c>
    </row>
    <row r="25" spans="1:54" s="12" customFormat="1" x14ac:dyDescent="0.2">
      <c r="A25" s="31" t="s">
        <v>85</v>
      </c>
      <c r="AB25" s="32">
        <v>0.40000000596046448</v>
      </c>
      <c r="AC25" s="32">
        <v>0.40000000596046448</v>
      </c>
      <c r="AD25" s="32">
        <v>0.40000000596046448</v>
      </c>
      <c r="AE25" s="32">
        <v>0.40000000596046448</v>
      </c>
      <c r="AF25" s="32">
        <v>0.40000000596046448</v>
      </c>
      <c r="AG25" s="32">
        <v>0.40000000596046448</v>
      </c>
      <c r="AH25" s="32">
        <v>0.40000000596046448</v>
      </c>
      <c r="AI25" s="32">
        <v>0.40000000596046448</v>
      </c>
      <c r="AJ25" s="32">
        <v>0.40000000596046448</v>
      </c>
      <c r="AK25" s="32">
        <v>0.40000000596046448</v>
      </c>
      <c r="AL25" s="32">
        <v>0.40000000596046448</v>
      </c>
      <c r="AM25" s="32">
        <v>0.40000000596046448</v>
      </c>
      <c r="AN25" s="32">
        <v>0.40000000596046448</v>
      </c>
      <c r="AO25" s="32">
        <v>0.40000000596046448</v>
      </c>
      <c r="AP25" s="32">
        <v>0.40000000596046448</v>
      </c>
      <c r="AQ25" s="32">
        <v>0.40000000596046448</v>
      </c>
      <c r="AR25" s="32">
        <v>0.40000000596046448</v>
      </c>
      <c r="AS25" s="32">
        <v>0.40000000596046448</v>
      </c>
      <c r="AT25" s="32">
        <v>0.40000000596046448</v>
      </c>
      <c r="AU25" s="32">
        <v>0.40000000596046448</v>
      </c>
      <c r="AV25" s="32">
        <v>0.40000000596046448</v>
      </c>
      <c r="AW25" s="32">
        <v>0.40000000596046448</v>
      </c>
    </row>
    <row r="26" spans="1:54" s="12" customFormat="1" x14ac:dyDescent="0.2">
      <c r="A26" s="29" t="s">
        <v>87</v>
      </c>
      <c r="AB26" s="30">
        <v>7.5000002980232239E-2</v>
      </c>
      <c r="AC26" s="30">
        <v>7.5000002980232239E-2</v>
      </c>
      <c r="AD26" s="30">
        <v>7.5000002980232239E-2</v>
      </c>
      <c r="AE26" s="30">
        <v>7.5000002980232239E-2</v>
      </c>
      <c r="AF26" s="30">
        <v>7.5000002980232239E-2</v>
      </c>
      <c r="AG26" s="30">
        <v>7.5000002980232239E-2</v>
      </c>
      <c r="AH26" s="30">
        <v>7.5000002980232239E-2</v>
      </c>
      <c r="AI26" s="30">
        <v>7.5000002980232239E-2</v>
      </c>
      <c r="AJ26" s="30">
        <v>7.5000002980232239E-2</v>
      </c>
      <c r="AK26" s="30">
        <v>7.5000002980232239E-2</v>
      </c>
      <c r="AL26" s="30">
        <v>7.5000002980232239E-2</v>
      </c>
      <c r="AM26" s="30">
        <v>7.5000002980232239E-2</v>
      </c>
      <c r="AN26" s="30">
        <v>7.5000002980232239E-2</v>
      </c>
      <c r="AO26" s="30">
        <v>7.5000002980232239E-2</v>
      </c>
      <c r="AP26" s="30">
        <v>7.5000002980232239E-2</v>
      </c>
      <c r="AQ26" s="30">
        <v>7.5000002980232239E-2</v>
      </c>
      <c r="AR26" s="30">
        <v>7.5000002980232239E-2</v>
      </c>
      <c r="AS26" s="30">
        <v>7.5000002980232239E-2</v>
      </c>
    </row>
    <row r="27" spans="1:54" s="12" customFormat="1" x14ac:dyDescent="0.2">
      <c r="A27" s="31" t="s">
        <v>80</v>
      </c>
      <c r="AB27" s="32">
        <v>5.000000074505806E-2</v>
      </c>
      <c r="AC27" s="32">
        <v>5.000000074505806E-2</v>
      </c>
      <c r="AD27" s="32">
        <v>5.000000074505806E-2</v>
      </c>
      <c r="AE27" s="32">
        <v>5.000000074505806E-2</v>
      </c>
    </row>
    <row r="28" spans="1:54" s="12" customFormat="1" x14ac:dyDescent="0.2">
      <c r="A28" s="29" t="s">
        <v>78</v>
      </c>
      <c r="AG28" s="30">
        <v>0.375</v>
      </c>
      <c r="AH28" s="30">
        <v>0.375</v>
      </c>
      <c r="AI28" s="30">
        <v>0.375</v>
      </c>
      <c r="AJ28" s="30">
        <v>0.375</v>
      </c>
      <c r="AK28" s="30">
        <v>0.375</v>
      </c>
      <c r="AL28" s="30">
        <v>0.375</v>
      </c>
    </row>
    <row r="29" spans="1:54" s="12" customFormat="1" x14ac:dyDescent="0.2">
      <c r="A29" s="31" t="s">
        <v>88</v>
      </c>
      <c r="AG29" s="32">
        <v>0.22499999403953552</v>
      </c>
      <c r="AH29" s="32">
        <v>0.22499999403953552</v>
      </c>
      <c r="AI29" s="32">
        <v>0.22499999403953552</v>
      </c>
      <c r="AJ29" s="32">
        <v>0.22499999403953552</v>
      </c>
    </row>
    <row r="30" spans="1:54" s="12" customFormat="1" x14ac:dyDescent="0.2">
      <c r="A30" s="29" t="s">
        <v>73</v>
      </c>
      <c r="AI30" s="30">
        <v>7.5000002980232239E-2</v>
      </c>
      <c r="AJ30" s="30">
        <v>7.5000002980232239E-2</v>
      </c>
      <c r="AK30" s="30">
        <v>7.5000002980232239E-2</v>
      </c>
      <c r="AL30" s="30">
        <v>7.5000002980232239E-2</v>
      </c>
      <c r="AM30" s="30">
        <v>7.5000002980232239E-2</v>
      </c>
      <c r="AN30" s="30">
        <v>7.5000002980232239E-2</v>
      </c>
      <c r="AO30" s="30">
        <v>7.5000002980232239E-2</v>
      </c>
      <c r="AP30" s="30">
        <v>7.5000002980232239E-2</v>
      </c>
      <c r="AQ30" s="30">
        <v>7.5000002980232239E-2</v>
      </c>
      <c r="AR30" s="30">
        <v>7.5000002980232239E-2</v>
      </c>
      <c r="AS30" s="30">
        <v>7.5000002980232239E-2</v>
      </c>
      <c r="AT30" s="30">
        <v>7.5000002980232239E-2</v>
      </c>
      <c r="AU30" s="30">
        <v>7.5000002980232239E-2</v>
      </c>
      <c r="AV30" s="30">
        <v>7.5000002980232239E-2</v>
      </c>
      <c r="AW30" s="30">
        <v>7.5000002980232239E-2</v>
      </c>
      <c r="AX30" s="30">
        <v>7.5000002980232239E-2</v>
      </c>
      <c r="AY30" s="30">
        <v>7.5000002980232239E-2</v>
      </c>
      <c r="AZ30" s="30">
        <v>7.5000002980232239E-2</v>
      </c>
    </row>
    <row r="31" spans="1:54" s="12" customFormat="1" x14ac:dyDescent="0.2">
      <c r="A31" s="31" t="s">
        <v>93</v>
      </c>
      <c r="AO31" s="32">
        <v>0.25</v>
      </c>
      <c r="AP31" s="32">
        <v>0.25</v>
      </c>
      <c r="AQ31" s="32">
        <v>0.25</v>
      </c>
      <c r="AR31" s="32">
        <v>0.25</v>
      </c>
      <c r="AS31" s="32">
        <v>0.25</v>
      </c>
      <c r="AT31" s="32">
        <v>0.25</v>
      </c>
      <c r="AU31" s="32">
        <v>0.25</v>
      </c>
      <c r="AV31" s="32">
        <v>0.25</v>
      </c>
      <c r="AW31" s="32">
        <v>0.25</v>
      </c>
      <c r="AX31" s="32">
        <v>0.25</v>
      </c>
      <c r="AY31" s="32">
        <v>0.25</v>
      </c>
      <c r="AZ31" s="32">
        <v>0.25</v>
      </c>
      <c r="BA31" s="32">
        <v>0.25</v>
      </c>
      <c r="BB31" s="32">
        <v>0.25</v>
      </c>
    </row>
    <row r="32" spans="1:54" s="12" customFormat="1" x14ac:dyDescent="0.2">
      <c r="A32" s="29" t="s">
        <v>61</v>
      </c>
      <c r="AR32" s="30">
        <v>0.125</v>
      </c>
      <c r="AS32" s="30">
        <v>0.125</v>
      </c>
      <c r="AT32" s="30">
        <v>0.125</v>
      </c>
      <c r="AU32" s="30">
        <v>0.125</v>
      </c>
    </row>
    <row r="33" spans="1:54" s="12" customFormat="1" x14ac:dyDescent="0.2">
      <c r="A33" s="31" t="s">
        <v>86</v>
      </c>
      <c r="AB33" s="32">
        <v>0</v>
      </c>
      <c r="AC33" s="32">
        <v>0</v>
      </c>
      <c r="AD33" s="32">
        <v>0</v>
      </c>
      <c r="AE33" s="32">
        <v>0</v>
      </c>
      <c r="AF33" s="32">
        <v>0</v>
      </c>
      <c r="AG33" s="32">
        <v>0</v>
      </c>
      <c r="AH33" s="32">
        <v>0</v>
      </c>
      <c r="AI33" s="32">
        <v>0</v>
      </c>
    </row>
    <row r="34" spans="1:54" s="12" customFormat="1" x14ac:dyDescent="0.2">
      <c r="A34" s="29" t="s">
        <v>92</v>
      </c>
      <c r="AO34" s="30">
        <v>0</v>
      </c>
      <c r="AP34" s="30">
        <v>0</v>
      </c>
      <c r="AQ34" s="30">
        <v>0</v>
      </c>
      <c r="AR34" s="30">
        <v>0</v>
      </c>
      <c r="AS34" s="30">
        <v>0</v>
      </c>
      <c r="AT34" s="30">
        <v>0</v>
      </c>
      <c r="AU34" s="30">
        <v>0</v>
      </c>
      <c r="AV34" s="30">
        <v>0</v>
      </c>
      <c r="AW34" s="30">
        <v>0</v>
      </c>
      <c r="AX34" s="30">
        <v>0</v>
      </c>
    </row>
    <row r="35" spans="1:54" s="12" customFormat="1" x14ac:dyDescent="0.2">
      <c r="A35" s="31" t="s">
        <v>16</v>
      </c>
      <c r="AO35" s="32">
        <v>0</v>
      </c>
      <c r="AP35" s="32">
        <v>0</v>
      </c>
      <c r="AQ35" s="32">
        <v>0</v>
      </c>
      <c r="AR35" s="32">
        <v>0</v>
      </c>
      <c r="AS35" s="32">
        <v>0</v>
      </c>
      <c r="AT35" s="32">
        <v>0</v>
      </c>
      <c r="AU35" s="32">
        <v>0</v>
      </c>
      <c r="AV35" s="32">
        <v>0</v>
      </c>
      <c r="AW35" s="32">
        <v>0</v>
      </c>
      <c r="AX35" s="32">
        <v>0</v>
      </c>
    </row>
    <row r="36" spans="1:54" s="12" customFormat="1" x14ac:dyDescent="0.2">
      <c r="A36" s="29" t="s">
        <v>14</v>
      </c>
      <c r="AO36" s="30">
        <v>0</v>
      </c>
      <c r="AP36" s="30">
        <v>0</v>
      </c>
      <c r="AQ36" s="30">
        <v>0</v>
      </c>
      <c r="AR36" s="30">
        <v>0</v>
      </c>
      <c r="AS36" s="30">
        <v>0</v>
      </c>
      <c r="AT36" s="30">
        <v>0</v>
      </c>
      <c r="AU36" s="30">
        <v>0</v>
      </c>
      <c r="AV36" s="30">
        <v>0</v>
      </c>
      <c r="AW36" s="30">
        <v>0</v>
      </c>
      <c r="AX36" s="30">
        <v>0</v>
      </c>
    </row>
    <row r="37" spans="1:54" s="12" customFormat="1" x14ac:dyDescent="0.2">
      <c r="A37" s="31" t="s">
        <v>17</v>
      </c>
      <c r="AO37" s="32">
        <v>0</v>
      </c>
      <c r="AP37" s="32">
        <v>0</v>
      </c>
      <c r="AQ37" s="32">
        <v>0</v>
      </c>
      <c r="AR37" s="32">
        <v>0</v>
      </c>
      <c r="AS37" s="32">
        <v>0</v>
      </c>
      <c r="AT37" s="32">
        <v>0</v>
      </c>
      <c r="AU37" s="32">
        <v>0</v>
      </c>
      <c r="AV37" s="32">
        <v>0</v>
      </c>
      <c r="AW37" s="32">
        <v>0</v>
      </c>
      <c r="AX37" s="32">
        <v>0</v>
      </c>
    </row>
    <row r="38" spans="1:54" s="12" customFormat="1" x14ac:dyDescent="0.2">
      <c r="A38" s="29" t="s">
        <v>15</v>
      </c>
      <c r="AO38" s="30">
        <v>0</v>
      </c>
      <c r="AP38" s="30">
        <v>0</v>
      </c>
      <c r="AQ38" s="30">
        <v>0</v>
      </c>
      <c r="AR38" s="30">
        <v>0</v>
      </c>
      <c r="AS38" s="30">
        <v>0</v>
      </c>
      <c r="AT38" s="30">
        <v>0</v>
      </c>
      <c r="AU38" s="30">
        <v>0</v>
      </c>
      <c r="AV38" s="30">
        <v>0</v>
      </c>
      <c r="AW38" s="30">
        <v>0</v>
      </c>
      <c r="AX38" s="30">
        <v>0</v>
      </c>
    </row>
    <row r="39" spans="1:54" s="12" customFormat="1" x14ac:dyDescent="0.2">
      <c r="A39" s="31" t="s">
        <v>12</v>
      </c>
      <c r="AO39" s="32">
        <v>0</v>
      </c>
      <c r="AP39" s="32">
        <v>0</v>
      </c>
      <c r="AQ39" s="32">
        <v>0</v>
      </c>
      <c r="AR39" s="32">
        <v>0</v>
      </c>
      <c r="AS39" s="32">
        <v>0</v>
      </c>
      <c r="AT39" s="32">
        <v>0</v>
      </c>
      <c r="AU39" s="32">
        <v>0</v>
      </c>
      <c r="AV39" s="32">
        <v>0</v>
      </c>
      <c r="AW39" s="32">
        <v>0</v>
      </c>
      <c r="AX39" s="32">
        <v>0</v>
      </c>
    </row>
    <row r="40" spans="1:54" s="12" customFormat="1" x14ac:dyDescent="0.2">
      <c r="A40" s="29" t="s">
        <v>13</v>
      </c>
      <c r="AO40" s="30">
        <v>0</v>
      </c>
      <c r="AP40" s="30">
        <v>0</v>
      </c>
      <c r="AQ40" s="30">
        <v>0</v>
      </c>
      <c r="AR40" s="30">
        <v>0</v>
      </c>
      <c r="AS40" s="30">
        <v>0</v>
      </c>
      <c r="AT40" s="30">
        <v>0</v>
      </c>
      <c r="AU40" s="30">
        <v>0</v>
      </c>
      <c r="AV40" s="30">
        <v>0</v>
      </c>
      <c r="AW40" s="30">
        <v>0</v>
      </c>
      <c r="AX40" s="30">
        <v>0</v>
      </c>
    </row>
    <row r="42" spans="1:54" x14ac:dyDescent="0.2">
      <c r="A42" s="18" t="s">
        <v>5</v>
      </c>
      <c r="B42" s="34">
        <f>SUM(B6:B40)</f>
        <v>2.0249999985098839</v>
      </c>
      <c r="C42" s="34">
        <f>SUM(C6:C40)</f>
        <v>2.0249999985098839</v>
      </c>
      <c r="D42" s="34">
        <f>SUM(D6:D40)</f>
        <v>2.0249999985098839</v>
      </c>
      <c r="E42" s="34">
        <f>SUM(E6:E40)</f>
        <v>2.0249999985098839</v>
      </c>
      <c r="F42" s="34">
        <f>SUM(F6:F40)</f>
        <v>2.0249999985098839</v>
      </c>
      <c r="G42" s="34">
        <f>SUM(G6:G40)</f>
        <v>2.0249999985098839</v>
      </c>
      <c r="H42" s="34">
        <f>SUM(H6:H40)</f>
        <v>2.0249999985098839</v>
      </c>
      <c r="I42" s="34">
        <f>SUM(I6:I40)</f>
        <v>2.0249999985098839</v>
      </c>
      <c r="J42" s="34">
        <f>SUM(J6:J40)</f>
        <v>2.0249999985098839</v>
      </c>
      <c r="K42" s="34">
        <f>SUM(K6:K40)</f>
        <v>2.0249999985098839</v>
      </c>
      <c r="L42" s="34">
        <f>SUM(L6:L40)</f>
        <v>2.2250000014901161</v>
      </c>
      <c r="M42" s="34">
        <f>SUM(M6:M40)</f>
        <v>2.2250000014901161</v>
      </c>
      <c r="N42" s="34">
        <f>SUM(N6:N40)</f>
        <v>2.2250000014901161</v>
      </c>
      <c r="O42" s="34">
        <f>SUM(O6:O40)</f>
        <v>2.2250000014901161</v>
      </c>
      <c r="P42" s="34">
        <f>SUM(P6:P40)</f>
        <v>2.3500000014901161</v>
      </c>
      <c r="Q42" s="34">
        <f>SUM(Q6:Q40)</f>
        <v>2.3500000014901161</v>
      </c>
      <c r="R42" s="34">
        <f>SUM(R6:R40)</f>
        <v>2.4750000014901161</v>
      </c>
      <c r="S42" s="34">
        <f>SUM(S6:S40)</f>
        <v>2.8500000014901161</v>
      </c>
      <c r="T42" s="34">
        <f>SUM(T6:T40)</f>
        <v>3.2999999895691872</v>
      </c>
      <c r="U42" s="34">
        <f>SUM(U6:U40)</f>
        <v>3.2999999895691872</v>
      </c>
      <c r="V42" s="34">
        <f>SUM(V6:V40)</f>
        <v>3.2999999895691872</v>
      </c>
      <c r="W42" s="34">
        <f>SUM(W6:W40)</f>
        <v>3.9499999955296516</v>
      </c>
      <c r="X42" s="34">
        <f>SUM(X6:X40)</f>
        <v>4.2000000029802322</v>
      </c>
      <c r="Y42" s="34">
        <f>SUM(Y6:Y40)</f>
        <v>4.2000000029802322</v>
      </c>
      <c r="Z42" s="34">
        <f>SUM(Z6:Z40)</f>
        <v>4.5250000059604645</v>
      </c>
      <c r="AA42" s="34">
        <f>SUM(AA6:AA40)</f>
        <v>4.5250000059604645</v>
      </c>
      <c r="AB42" s="33">
        <f>SUM(AB6:AB40)</f>
        <v>6.0500000156462193</v>
      </c>
      <c r="AC42" s="33">
        <f>SUM(AC6:AC40)</f>
        <v>6.0500000156462193</v>
      </c>
      <c r="AD42" s="33">
        <f>SUM(AD6:AD40)</f>
        <v>6.0500000156462193</v>
      </c>
      <c r="AE42" s="33">
        <f>SUM(AE6:AE40)</f>
        <v>6.0500000156462193</v>
      </c>
      <c r="AF42" s="34">
        <f>SUM(AF6:AF40)</f>
        <v>5</v>
      </c>
      <c r="AG42" s="34">
        <f>SUM(AG6:AG40)</f>
        <v>5.4749999940395355</v>
      </c>
      <c r="AH42" s="34">
        <f>SUM(AH6:AH40)</f>
        <v>5.4749999940395355</v>
      </c>
      <c r="AI42" s="33">
        <f>SUM(AI6:AI40)</f>
        <v>5.5499999970197678</v>
      </c>
      <c r="AJ42" s="34">
        <f>SUM(AJ6:AJ40)</f>
        <v>4.7250000089406967</v>
      </c>
      <c r="AK42" s="34">
        <f>SUM(AK6:AK40)</f>
        <v>4.5000000149011612</v>
      </c>
      <c r="AL42" s="34">
        <f>SUM(AL6:AL40)</f>
        <v>4.5000000149011612</v>
      </c>
      <c r="AM42" s="34">
        <f>SUM(AM6:AM40)</f>
        <v>4.1250000149011612</v>
      </c>
      <c r="AN42" s="34">
        <f>SUM(AN6:AN40)</f>
        <v>3.7750000208616257</v>
      </c>
      <c r="AO42" s="34">
        <f>SUM(AO6:AO40)</f>
        <v>3.4750000238418579</v>
      </c>
      <c r="AP42" s="34">
        <f>SUM(AP6:AP40)</f>
        <v>3.4750000238418579</v>
      </c>
      <c r="AQ42" s="34">
        <f>SUM(AQ6:AQ40)</f>
        <v>3.175000011920929</v>
      </c>
      <c r="AR42" s="34">
        <f>SUM(AR6:AR40)</f>
        <v>3.300000011920929</v>
      </c>
      <c r="AS42" s="34">
        <f>SUM(AS6:AS40)</f>
        <v>3.300000011920929</v>
      </c>
      <c r="AT42" s="34">
        <f>SUM(AT6:AT40)</f>
        <v>3.2250000089406967</v>
      </c>
      <c r="AU42" s="34">
        <f>SUM(AU6:AU40)</f>
        <v>3.2250000089406967</v>
      </c>
      <c r="AV42" s="34">
        <f>SUM(AV6:AV40)</f>
        <v>3.1000000089406967</v>
      </c>
      <c r="AW42" s="34">
        <f>SUM(AW6:AW40)</f>
        <v>3.1000000089406967</v>
      </c>
      <c r="AX42" s="34">
        <f>SUM(AX6:AX40)</f>
        <v>2.7000000029802322</v>
      </c>
      <c r="AY42" s="34">
        <f>SUM(AY6:AY40)</f>
        <v>2.7000000029802322</v>
      </c>
      <c r="AZ42" s="34">
        <f>SUM(AZ6:AZ40)</f>
        <v>2.7000000029802322</v>
      </c>
      <c r="BA42" s="34">
        <f>SUM(BA6:BA40)</f>
        <v>2.625</v>
      </c>
      <c r="BB42" s="34">
        <f>SUM(BB6:BB40)</f>
        <v>0.375</v>
      </c>
    </row>
  </sheetData>
  <mergeCells count="5">
    <mergeCell ref="A1:BB2"/>
    <mergeCell ref="AO3:BA3"/>
    <mergeCell ref="B3:N3"/>
    <mergeCell ref="O3:AA3"/>
    <mergeCell ref="AB3:AN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7FCC2-1A45-D24F-93D9-1FE5F6ECA04E}">
  <sheetPr codeName="Sheet7"/>
  <dimension ref="A1:BB17"/>
  <sheetViews>
    <sheetView workbookViewId="0">
      <pane xSplit="1" ySplit="5" topLeftCell="B6" activePane="bottomRight" state="frozen"/>
      <selection pane="topRight" activeCell="D1" sqref="D1"/>
      <selection pane="bottomLeft" activeCell="A10" sqref="A10"/>
      <selection pane="bottomRight" activeCell="AH13" sqref="AH13"/>
    </sheetView>
  </sheetViews>
  <sheetFormatPr baseColWidth="10" defaultRowHeight="16" x14ac:dyDescent="0.2"/>
  <cols>
    <col min="1" max="1" width="41.83203125" customWidth="1"/>
    <col min="2" max="3" width="13" hidden="1" customWidth="1"/>
    <col min="4" max="30" width="10.83203125" hidden="1" customWidth="1"/>
  </cols>
  <sheetData>
    <row r="1" spans="1:54" x14ac:dyDescent="0.2">
      <c r="A1" s="47" t="s">
        <v>66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  <c r="AM1" s="47"/>
      <c r="AN1" s="47"/>
      <c r="AO1" s="47"/>
      <c r="AP1" s="47"/>
      <c r="AQ1" s="47"/>
      <c r="AR1" s="47"/>
      <c r="AS1" s="47"/>
      <c r="AT1" s="47"/>
      <c r="AU1" s="47"/>
      <c r="AV1" s="47"/>
      <c r="AW1" s="47"/>
      <c r="AX1" s="47"/>
      <c r="AY1" s="47"/>
      <c r="AZ1" s="47"/>
      <c r="BA1" s="47"/>
      <c r="BB1" s="47"/>
    </row>
    <row r="2" spans="1:54" x14ac:dyDescent="0.2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7"/>
      <c r="AG2" s="47"/>
      <c r="AH2" s="47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</row>
    <row r="3" spans="1:54" x14ac:dyDescent="0.2">
      <c r="A3" s="19"/>
      <c r="B3" s="49" t="s">
        <v>27</v>
      </c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50" t="s">
        <v>28</v>
      </c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1" t="s">
        <v>29</v>
      </c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48" t="s">
        <v>30</v>
      </c>
      <c r="AP3" s="48"/>
      <c r="AQ3" s="48"/>
      <c r="AR3" s="48"/>
      <c r="AS3" s="48"/>
      <c r="AT3" s="48"/>
      <c r="AU3" s="48"/>
      <c r="AV3" s="48"/>
      <c r="AW3" s="48"/>
      <c r="AX3" s="48"/>
      <c r="AY3" s="48"/>
      <c r="AZ3" s="48"/>
      <c r="BA3" s="48"/>
      <c r="BB3" s="10"/>
    </row>
    <row r="4" spans="1:54" x14ac:dyDescent="0.2">
      <c r="A4" s="19"/>
      <c r="B4" s="20">
        <v>1</v>
      </c>
      <c r="C4" s="16">
        <f>B4+1</f>
        <v>2</v>
      </c>
      <c r="D4" s="16">
        <f t="shared" ref="D4:AZ4" si="0">C4+1</f>
        <v>3</v>
      </c>
      <c r="E4" s="16">
        <f t="shared" si="0"/>
        <v>4</v>
      </c>
      <c r="F4" s="16">
        <f t="shared" si="0"/>
        <v>5</v>
      </c>
      <c r="G4" s="16">
        <f t="shared" si="0"/>
        <v>6</v>
      </c>
      <c r="H4" s="16">
        <f t="shared" si="0"/>
        <v>7</v>
      </c>
      <c r="I4" s="16">
        <f t="shared" si="0"/>
        <v>8</v>
      </c>
      <c r="J4" s="16">
        <f t="shared" si="0"/>
        <v>9</v>
      </c>
      <c r="K4" s="16">
        <f t="shared" si="0"/>
        <v>10</v>
      </c>
      <c r="L4" s="16">
        <f t="shared" si="0"/>
        <v>11</v>
      </c>
      <c r="M4" s="16">
        <f>L4+1</f>
        <v>12</v>
      </c>
      <c r="N4" s="16">
        <f t="shared" si="0"/>
        <v>13</v>
      </c>
      <c r="O4" s="16">
        <f t="shared" si="0"/>
        <v>14</v>
      </c>
      <c r="P4" s="16">
        <f t="shared" si="0"/>
        <v>15</v>
      </c>
      <c r="Q4" s="16">
        <f t="shared" si="0"/>
        <v>16</v>
      </c>
      <c r="R4" s="16">
        <f t="shared" si="0"/>
        <v>17</v>
      </c>
      <c r="S4" s="16">
        <f t="shared" si="0"/>
        <v>18</v>
      </c>
      <c r="T4" s="16">
        <f t="shared" si="0"/>
        <v>19</v>
      </c>
      <c r="U4" s="16">
        <f t="shared" si="0"/>
        <v>20</v>
      </c>
      <c r="V4" s="16">
        <f t="shared" si="0"/>
        <v>21</v>
      </c>
      <c r="W4" s="16">
        <f>V4+1</f>
        <v>22</v>
      </c>
      <c r="X4" s="16">
        <f t="shared" si="0"/>
        <v>23</v>
      </c>
      <c r="Y4" s="16">
        <f t="shared" si="0"/>
        <v>24</v>
      </c>
      <c r="Z4" s="16">
        <f t="shared" si="0"/>
        <v>25</v>
      </c>
      <c r="AA4" s="16">
        <f t="shared" si="0"/>
        <v>26</v>
      </c>
      <c r="AB4" s="16">
        <f t="shared" si="0"/>
        <v>27</v>
      </c>
      <c r="AC4" s="16">
        <f t="shared" si="0"/>
        <v>28</v>
      </c>
      <c r="AD4" s="16">
        <f t="shared" si="0"/>
        <v>29</v>
      </c>
      <c r="AE4" s="16">
        <f t="shared" si="0"/>
        <v>30</v>
      </c>
      <c r="AF4" s="16">
        <f t="shared" si="0"/>
        <v>31</v>
      </c>
      <c r="AG4" s="16">
        <f>AF4+1</f>
        <v>32</v>
      </c>
      <c r="AH4" s="16">
        <f t="shared" si="0"/>
        <v>33</v>
      </c>
      <c r="AI4" s="16">
        <f t="shared" si="0"/>
        <v>34</v>
      </c>
      <c r="AJ4" s="16">
        <f t="shared" si="0"/>
        <v>35</v>
      </c>
      <c r="AK4" s="16">
        <f t="shared" si="0"/>
        <v>36</v>
      </c>
      <c r="AL4" s="16">
        <f t="shared" si="0"/>
        <v>37</v>
      </c>
      <c r="AM4" s="16">
        <f t="shared" si="0"/>
        <v>38</v>
      </c>
      <c r="AN4" s="16">
        <f>AM4+1</f>
        <v>39</v>
      </c>
      <c r="AO4" s="16">
        <f t="shared" si="0"/>
        <v>40</v>
      </c>
      <c r="AP4" s="16">
        <f t="shared" si="0"/>
        <v>41</v>
      </c>
      <c r="AQ4" s="16">
        <f t="shared" si="0"/>
        <v>42</v>
      </c>
      <c r="AR4" s="16">
        <f t="shared" si="0"/>
        <v>43</v>
      </c>
      <c r="AS4" s="16">
        <f t="shared" si="0"/>
        <v>44</v>
      </c>
      <c r="AT4" s="16">
        <f>AS4+1</f>
        <v>45</v>
      </c>
      <c r="AU4" s="16">
        <f t="shared" si="0"/>
        <v>46</v>
      </c>
      <c r="AV4" s="16">
        <f t="shared" si="0"/>
        <v>47</v>
      </c>
      <c r="AW4" s="16">
        <f t="shared" si="0"/>
        <v>48</v>
      </c>
      <c r="AX4" s="16">
        <f>AW4+1</f>
        <v>49</v>
      </c>
      <c r="AY4" s="16">
        <f t="shared" si="0"/>
        <v>50</v>
      </c>
      <c r="AZ4" s="16">
        <f t="shared" si="0"/>
        <v>51</v>
      </c>
      <c r="BA4" s="16">
        <f>AZ4+1</f>
        <v>52</v>
      </c>
      <c r="BB4" s="16">
        <f>BA4+1</f>
        <v>53</v>
      </c>
    </row>
    <row r="5" spans="1:54" x14ac:dyDescent="0.2">
      <c r="A5" s="23" t="s">
        <v>67</v>
      </c>
      <c r="B5" s="21">
        <f>[0]!firstMondayOfTheYear</f>
        <v>44564</v>
      </c>
      <c r="C5" s="17">
        <f>B5+7</f>
        <v>44571</v>
      </c>
      <c r="D5" s="17">
        <f t="shared" ref="D5:BB5" si="1">C5+7</f>
        <v>44578</v>
      </c>
      <c r="E5" s="17">
        <f t="shared" si="1"/>
        <v>44585</v>
      </c>
      <c r="F5" s="17">
        <f t="shared" si="1"/>
        <v>44592</v>
      </c>
      <c r="G5" s="17">
        <f t="shared" si="1"/>
        <v>44599</v>
      </c>
      <c r="H5" s="17">
        <f t="shared" si="1"/>
        <v>44606</v>
      </c>
      <c r="I5" s="17">
        <f t="shared" si="1"/>
        <v>44613</v>
      </c>
      <c r="J5" s="17">
        <f t="shared" si="1"/>
        <v>44620</v>
      </c>
      <c r="K5" s="17">
        <f t="shared" si="1"/>
        <v>44627</v>
      </c>
      <c r="L5" s="17">
        <f t="shared" si="1"/>
        <v>44634</v>
      </c>
      <c r="M5" s="17">
        <f t="shared" si="1"/>
        <v>44641</v>
      </c>
      <c r="N5" s="17">
        <f t="shared" si="1"/>
        <v>44648</v>
      </c>
      <c r="O5" s="17">
        <f t="shared" si="1"/>
        <v>44655</v>
      </c>
      <c r="P5" s="17">
        <f t="shared" si="1"/>
        <v>44662</v>
      </c>
      <c r="Q5" s="17">
        <f t="shared" si="1"/>
        <v>44669</v>
      </c>
      <c r="R5" s="17">
        <f t="shared" si="1"/>
        <v>44676</v>
      </c>
      <c r="S5" s="17">
        <f>R5+7</f>
        <v>44683</v>
      </c>
      <c r="T5" s="17">
        <f t="shared" si="1"/>
        <v>44690</v>
      </c>
      <c r="U5" s="17">
        <f t="shared" si="1"/>
        <v>44697</v>
      </c>
      <c r="V5" s="17">
        <f t="shared" si="1"/>
        <v>44704</v>
      </c>
      <c r="W5" s="17">
        <f t="shared" si="1"/>
        <v>44711</v>
      </c>
      <c r="X5" s="17">
        <f t="shared" si="1"/>
        <v>44718</v>
      </c>
      <c r="Y5" s="17">
        <f t="shared" si="1"/>
        <v>44725</v>
      </c>
      <c r="Z5" s="17">
        <f t="shared" si="1"/>
        <v>44732</v>
      </c>
      <c r="AA5" s="17">
        <f>Z5+7</f>
        <v>44739</v>
      </c>
      <c r="AB5" s="17">
        <f t="shared" si="1"/>
        <v>44746</v>
      </c>
      <c r="AC5" s="17">
        <f t="shared" si="1"/>
        <v>44753</v>
      </c>
      <c r="AD5" s="17">
        <f t="shared" si="1"/>
        <v>44760</v>
      </c>
      <c r="AE5" s="17">
        <f t="shared" si="1"/>
        <v>44767</v>
      </c>
      <c r="AF5" s="17">
        <f t="shared" si="1"/>
        <v>44774</v>
      </c>
      <c r="AG5" s="17">
        <f t="shared" si="1"/>
        <v>44781</v>
      </c>
      <c r="AH5" s="17">
        <f t="shared" si="1"/>
        <v>44788</v>
      </c>
      <c r="AI5" s="17">
        <f t="shared" si="1"/>
        <v>44795</v>
      </c>
      <c r="AJ5" s="17">
        <f t="shared" si="1"/>
        <v>44802</v>
      </c>
      <c r="AK5" s="17">
        <f t="shared" si="1"/>
        <v>44809</v>
      </c>
      <c r="AL5" s="17">
        <f t="shared" si="1"/>
        <v>44816</v>
      </c>
      <c r="AM5" s="17">
        <f>AL5+7</f>
        <v>44823</v>
      </c>
      <c r="AN5" s="17">
        <f t="shared" si="1"/>
        <v>44830</v>
      </c>
      <c r="AO5" s="17">
        <f t="shared" si="1"/>
        <v>44837</v>
      </c>
      <c r="AP5" s="17">
        <f t="shared" si="1"/>
        <v>44844</v>
      </c>
      <c r="AQ5" s="17">
        <f t="shared" si="1"/>
        <v>44851</v>
      </c>
      <c r="AR5" s="17">
        <f t="shared" si="1"/>
        <v>44858</v>
      </c>
      <c r="AS5" s="17">
        <f t="shared" si="1"/>
        <v>44865</v>
      </c>
      <c r="AT5" s="17">
        <f t="shared" si="1"/>
        <v>44872</v>
      </c>
      <c r="AU5" s="17">
        <f t="shared" si="1"/>
        <v>44879</v>
      </c>
      <c r="AV5" s="17">
        <f t="shared" si="1"/>
        <v>44886</v>
      </c>
      <c r="AW5" s="17">
        <f t="shared" si="1"/>
        <v>44893</v>
      </c>
      <c r="AX5" s="17">
        <f>AW5+7</f>
        <v>44900</v>
      </c>
      <c r="AY5" s="17">
        <f t="shared" si="1"/>
        <v>44907</v>
      </c>
      <c r="AZ5" s="17">
        <f t="shared" si="1"/>
        <v>44914</v>
      </c>
      <c r="BA5" s="17">
        <f t="shared" si="1"/>
        <v>44921</v>
      </c>
      <c r="BB5" s="17">
        <f t="shared" si="1"/>
        <v>44928</v>
      </c>
    </row>
    <row r="6" spans="1:54" x14ac:dyDescent="0.2">
      <c r="A6" t="s">
        <v>20</v>
      </c>
      <c r="B6" s="36">
        <v>14</v>
      </c>
      <c r="C6" s="36">
        <v>14</v>
      </c>
      <c r="D6" s="36">
        <v>14</v>
      </c>
      <c r="E6" s="36">
        <v>14</v>
      </c>
      <c r="F6" s="36">
        <v>14</v>
      </c>
      <c r="G6" s="36">
        <v>14</v>
      </c>
      <c r="H6" s="36">
        <v>14</v>
      </c>
      <c r="I6" s="36">
        <v>14</v>
      </c>
      <c r="J6" s="36">
        <v>14</v>
      </c>
      <c r="K6" s="36">
        <v>14</v>
      </c>
      <c r="L6" s="36">
        <v>15</v>
      </c>
      <c r="M6" s="36">
        <v>15</v>
      </c>
      <c r="N6" s="36">
        <v>15</v>
      </c>
      <c r="O6" s="36">
        <v>15</v>
      </c>
      <c r="P6" s="36">
        <v>16</v>
      </c>
      <c r="Q6" s="36">
        <v>16</v>
      </c>
      <c r="R6" s="36">
        <v>17</v>
      </c>
      <c r="S6" s="36">
        <v>22</v>
      </c>
      <c r="T6" s="35">
        <v>26</v>
      </c>
      <c r="U6" s="35">
        <v>26</v>
      </c>
      <c r="V6" s="35">
        <v>26</v>
      </c>
      <c r="W6" s="35">
        <v>32</v>
      </c>
      <c r="X6" s="37">
        <v>36</v>
      </c>
      <c r="Y6" s="37">
        <v>36</v>
      </c>
      <c r="Z6" s="37">
        <v>39</v>
      </c>
      <c r="AA6" s="37">
        <v>39</v>
      </c>
      <c r="AB6" s="37">
        <v>46</v>
      </c>
      <c r="AC6" s="37">
        <v>46</v>
      </c>
      <c r="AD6" s="37">
        <v>46</v>
      </c>
      <c r="AE6" s="37">
        <v>46</v>
      </c>
      <c r="AF6" s="37">
        <v>36</v>
      </c>
      <c r="AG6" s="37">
        <v>37</v>
      </c>
      <c r="AH6" s="37">
        <v>37</v>
      </c>
      <c r="AI6" s="37">
        <v>38</v>
      </c>
      <c r="AJ6" s="35">
        <v>29</v>
      </c>
      <c r="AK6" s="35">
        <v>28</v>
      </c>
      <c r="AL6" s="35">
        <v>28</v>
      </c>
      <c r="AM6" s="35">
        <v>27</v>
      </c>
      <c r="AN6" s="36">
        <v>19</v>
      </c>
      <c r="AO6" s="36">
        <v>15</v>
      </c>
      <c r="AP6" s="36">
        <v>15</v>
      </c>
      <c r="AQ6" s="36">
        <v>13</v>
      </c>
      <c r="AR6" s="36">
        <v>14</v>
      </c>
      <c r="AS6" s="36">
        <v>14</v>
      </c>
      <c r="AT6" s="36">
        <v>13</v>
      </c>
      <c r="AU6" s="36">
        <v>13</v>
      </c>
      <c r="AV6" s="36">
        <v>12</v>
      </c>
      <c r="AW6" s="36">
        <v>12</v>
      </c>
      <c r="AX6" s="36">
        <v>6</v>
      </c>
      <c r="AY6" s="36">
        <v>6</v>
      </c>
      <c r="AZ6" s="36">
        <v>6</v>
      </c>
      <c r="BA6" s="36">
        <v>5</v>
      </c>
    </row>
    <row r="7" spans="1:54" x14ac:dyDescent="0.2">
      <c r="A7" t="s">
        <v>19</v>
      </c>
      <c r="B7" s="36">
        <v>7</v>
      </c>
      <c r="C7" s="36">
        <v>7</v>
      </c>
      <c r="D7" s="36">
        <v>7</v>
      </c>
      <c r="E7" s="36">
        <v>7</v>
      </c>
      <c r="F7" s="36">
        <v>7</v>
      </c>
      <c r="G7" s="36">
        <v>7</v>
      </c>
      <c r="H7" s="36">
        <v>7</v>
      </c>
      <c r="I7" s="36">
        <v>7</v>
      </c>
      <c r="J7" s="36">
        <v>7</v>
      </c>
      <c r="K7" s="36">
        <v>7</v>
      </c>
      <c r="L7" s="36">
        <v>13</v>
      </c>
      <c r="M7" s="36">
        <v>13</v>
      </c>
      <c r="N7" s="36">
        <v>13</v>
      </c>
      <c r="O7" s="36">
        <v>13</v>
      </c>
      <c r="P7" s="36">
        <v>13</v>
      </c>
      <c r="Q7" s="36">
        <v>13</v>
      </c>
      <c r="R7" s="36">
        <v>13</v>
      </c>
      <c r="S7" s="36">
        <v>19</v>
      </c>
      <c r="T7" s="36">
        <v>19</v>
      </c>
      <c r="U7" s="36">
        <v>19</v>
      </c>
      <c r="V7" s="36">
        <v>19</v>
      </c>
      <c r="W7" s="35">
        <v>29</v>
      </c>
      <c r="X7" s="35">
        <v>29</v>
      </c>
      <c r="Y7" s="35">
        <v>29</v>
      </c>
      <c r="Z7" s="35">
        <v>29</v>
      </c>
      <c r="AA7" s="35">
        <v>29</v>
      </c>
      <c r="AB7" s="35">
        <v>29</v>
      </c>
      <c r="AC7" s="35">
        <v>29</v>
      </c>
      <c r="AD7" s="35">
        <v>29</v>
      </c>
      <c r="AE7" s="35">
        <v>29</v>
      </c>
      <c r="AF7" s="36">
        <v>22</v>
      </c>
      <c r="AG7" s="36">
        <v>22</v>
      </c>
      <c r="AH7" s="36">
        <v>22</v>
      </c>
      <c r="AI7" s="36">
        <v>22</v>
      </c>
      <c r="AJ7" s="36">
        <v>16</v>
      </c>
      <c r="AK7" s="36">
        <v>16</v>
      </c>
      <c r="AL7" s="36">
        <v>16</v>
      </c>
      <c r="AM7" s="36">
        <v>16</v>
      </c>
      <c r="AN7" s="36">
        <v>10</v>
      </c>
      <c r="AO7" s="36">
        <v>0</v>
      </c>
      <c r="AP7" s="36">
        <v>0</v>
      </c>
      <c r="AQ7" s="36">
        <v>0</v>
      </c>
      <c r="AR7" s="36">
        <v>0</v>
      </c>
      <c r="AS7" s="36">
        <v>0</v>
      </c>
      <c r="AT7" s="36">
        <v>0</v>
      </c>
      <c r="AU7" s="36">
        <v>0</v>
      </c>
      <c r="AV7" s="36">
        <v>0</v>
      </c>
      <c r="AW7" s="36">
        <v>0</v>
      </c>
      <c r="AX7" s="36">
        <v>0</v>
      </c>
      <c r="AY7" s="36">
        <v>0</v>
      </c>
      <c r="AZ7" s="36">
        <v>0</v>
      </c>
      <c r="BA7" s="36">
        <v>0</v>
      </c>
    </row>
    <row r="8" spans="1:54" x14ac:dyDescent="0.2">
      <c r="A8" t="s">
        <v>21</v>
      </c>
      <c r="B8" s="36">
        <v>0</v>
      </c>
      <c r="C8" s="36">
        <v>0</v>
      </c>
      <c r="D8" s="36">
        <v>0</v>
      </c>
      <c r="E8" s="36">
        <v>0</v>
      </c>
      <c r="F8" s="36">
        <v>0</v>
      </c>
      <c r="G8" s="36">
        <v>0</v>
      </c>
      <c r="H8" s="36">
        <v>0</v>
      </c>
      <c r="I8" s="36">
        <v>0</v>
      </c>
      <c r="J8" s="36">
        <v>0</v>
      </c>
      <c r="K8" s="36">
        <v>0</v>
      </c>
      <c r="L8" s="36">
        <v>1</v>
      </c>
      <c r="M8" s="36">
        <v>1</v>
      </c>
      <c r="N8" s="36">
        <v>1</v>
      </c>
      <c r="O8" s="36">
        <v>1</v>
      </c>
      <c r="P8" s="36">
        <v>3</v>
      </c>
      <c r="Q8" s="36">
        <v>3</v>
      </c>
      <c r="R8" s="36">
        <v>3</v>
      </c>
      <c r="S8" s="36">
        <v>3</v>
      </c>
      <c r="T8" s="36">
        <v>13</v>
      </c>
      <c r="U8" s="36">
        <v>13</v>
      </c>
      <c r="V8" s="36">
        <v>13</v>
      </c>
      <c r="W8" s="36">
        <v>13</v>
      </c>
      <c r="X8" s="36">
        <v>13</v>
      </c>
      <c r="Y8" s="36">
        <v>13</v>
      </c>
      <c r="Z8" s="36">
        <v>19</v>
      </c>
      <c r="AA8" s="36">
        <v>19</v>
      </c>
      <c r="AB8" s="36">
        <v>19</v>
      </c>
      <c r="AC8" s="36">
        <v>19</v>
      </c>
      <c r="AD8" s="36">
        <v>19</v>
      </c>
      <c r="AE8" s="36">
        <v>19</v>
      </c>
      <c r="AF8" s="36">
        <v>18</v>
      </c>
      <c r="AG8" s="35">
        <v>28</v>
      </c>
      <c r="AH8" s="35">
        <v>28</v>
      </c>
      <c r="AI8" s="35">
        <v>28</v>
      </c>
      <c r="AJ8" s="36">
        <v>18</v>
      </c>
      <c r="AK8" s="36">
        <v>10</v>
      </c>
      <c r="AL8" s="36">
        <v>10</v>
      </c>
      <c r="AM8" s="36">
        <v>6</v>
      </c>
      <c r="AN8" s="36">
        <v>6</v>
      </c>
      <c r="AO8" s="36">
        <v>8</v>
      </c>
      <c r="AP8" s="36">
        <v>8</v>
      </c>
      <c r="AQ8" s="36">
        <v>8</v>
      </c>
      <c r="AR8" s="36">
        <v>12</v>
      </c>
      <c r="AS8" s="36">
        <v>12</v>
      </c>
      <c r="AT8" s="36">
        <v>12</v>
      </c>
      <c r="AU8" s="36">
        <v>12</v>
      </c>
      <c r="AV8" s="36">
        <v>8</v>
      </c>
      <c r="AW8" s="36">
        <v>8</v>
      </c>
      <c r="AX8" s="36">
        <v>8</v>
      </c>
      <c r="AY8" s="36">
        <v>8</v>
      </c>
      <c r="AZ8" s="36">
        <v>8</v>
      </c>
      <c r="BA8" s="36">
        <v>8</v>
      </c>
    </row>
    <row r="9" spans="1:54" x14ac:dyDescent="0.2">
      <c r="A9" t="s">
        <v>22</v>
      </c>
      <c r="B9" s="36">
        <v>0</v>
      </c>
      <c r="C9" s="36">
        <v>0</v>
      </c>
      <c r="D9" s="36">
        <v>0</v>
      </c>
      <c r="E9" s="36">
        <v>0</v>
      </c>
      <c r="F9" s="36">
        <v>0</v>
      </c>
      <c r="G9" s="36">
        <v>0</v>
      </c>
      <c r="H9" s="36">
        <v>0</v>
      </c>
      <c r="I9" s="36">
        <v>0</v>
      </c>
      <c r="J9" s="36">
        <v>0</v>
      </c>
      <c r="K9" s="36">
        <v>0</v>
      </c>
      <c r="L9" s="36">
        <v>0</v>
      </c>
      <c r="M9" s="36">
        <v>0</v>
      </c>
      <c r="N9" s="36">
        <v>0</v>
      </c>
      <c r="O9" s="36">
        <v>0</v>
      </c>
      <c r="P9" s="36">
        <v>0</v>
      </c>
      <c r="Q9" s="36">
        <v>0</v>
      </c>
      <c r="R9" s="36">
        <v>0</v>
      </c>
      <c r="S9" s="36">
        <v>0</v>
      </c>
      <c r="T9" s="36">
        <v>0</v>
      </c>
      <c r="U9" s="36">
        <v>0</v>
      </c>
      <c r="V9" s="36">
        <v>0</v>
      </c>
      <c r="W9" s="36">
        <v>0</v>
      </c>
      <c r="X9" s="36">
        <v>0</v>
      </c>
      <c r="Y9" s="36">
        <v>0</v>
      </c>
      <c r="Z9" s="36">
        <v>0</v>
      </c>
      <c r="AA9" s="36">
        <v>0</v>
      </c>
      <c r="AB9" s="37">
        <v>40</v>
      </c>
      <c r="AC9" s="37">
        <v>40</v>
      </c>
      <c r="AD9" s="37">
        <v>40</v>
      </c>
      <c r="AE9" s="37">
        <v>40</v>
      </c>
      <c r="AF9" s="37">
        <v>40</v>
      </c>
      <c r="AG9" s="37">
        <v>40</v>
      </c>
      <c r="AH9" s="37">
        <v>40</v>
      </c>
      <c r="AI9" s="37">
        <v>40</v>
      </c>
      <c r="AJ9" s="37">
        <v>40</v>
      </c>
      <c r="AK9" s="37">
        <v>40</v>
      </c>
      <c r="AL9" s="37">
        <v>40</v>
      </c>
      <c r="AM9" s="37">
        <v>40</v>
      </c>
      <c r="AN9" s="37">
        <v>40</v>
      </c>
      <c r="AO9" s="37">
        <v>40</v>
      </c>
      <c r="AP9" s="37">
        <v>40</v>
      </c>
      <c r="AQ9" s="37">
        <v>40</v>
      </c>
      <c r="AR9" s="37">
        <v>40</v>
      </c>
      <c r="AS9" s="37">
        <v>40</v>
      </c>
      <c r="AT9" s="37">
        <v>40</v>
      </c>
      <c r="AU9" s="37">
        <v>40</v>
      </c>
      <c r="AV9" s="37">
        <v>40</v>
      </c>
      <c r="AW9" s="37">
        <v>40</v>
      </c>
      <c r="AX9" s="37">
        <v>40</v>
      </c>
      <c r="AY9" s="37">
        <v>40</v>
      </c>
      <c r="AZ9" s="37">
        <v>40</v>
      </c>
      <c r="BA9" s="37">
        <v>40</v>
      </c>
    </row>
    <row r="10" spans="1:54" x14ac:dyDescent="0.2">
      <c r="A10" t="s">
        <v>23</v>
      </c>
      <c r="B10" s="36">
        <v>18</v>
      </c>
      <c r="C10" s="36">
        <v>18</v>
      </c>
      <c r="D10" s="36">
        <v>18</v>
      </c>
      <c r="E10" s="36">
        <v>18</v>
      </c>
      <c r="F10" s="36">
        <v>18</v>
      </c>
      <c r="G10" s="36">
        <v>18</v>
      </c>
      <c r="H10" s="36">
        <v>18</v>
      </c>
      <c r="I10" s="36">
        <v>18</v>
      </c>
      <c r="J10" s="36">
        <v>18</v>
      </c>
      <c r="K10" s="36">
        <v>18</v>
      </c>
      <c r="L10" s="36">
        <v>18</v>
      </c>
      <c r="M10" s="36">
        <v>18</v>
      </c>
      <c r="N10" s="36">
        <v>18</v>
      </c>
      <c r="O10" s="36">
        <v>18</v>
      </c>
      <c r="P10" s="36">
        <v>20</v>
      </c>
      <c r="Q10" s="36">
        <v>20</v>
      </c>
      <c r="R10" s="36">
        <v>24</v>
      </c>
      <c r="S10" s="36">
        <v>24</v>
      </c>
      <c r="T10" s="35">
        <v>28</v>
      </c>
      <c r="U10" s="35">
        <v>28</v>
      </c>
      <c r="V10" s="35">
        <v>28</v>
      </c>
      <c r="W10" s="35">
        <v>30</v>
      </c>
      <c r="X10" s="35">
        <v>30</v>
      </c>
      <c r="Y10" s="35">
        <v>30</v>
      </c>
      <c r="Z10" s="35">
        <v>30</v>
      </c>
      <c r="AA10" s="35">
        <v>30</v>
      </c>
      <c r="AB10" s="35">
        <v>34</v>
      </c>
      <c r="AC10" s="35">
        <v>34</v>
      </c>
      <c r="AD10" s="35">
        <v>34</v>
      </c>
      <c r="AE10" s="35">
        <v>34</v>
      </c>
      <c r="AF10" s="36">
        <v>22</v>
      </c>
      <c r="AG10" s="36">
        <v>24</v>
      </c>
      <c r="AH10" s="36">
        <v>24</v>
      </c>
      <c r="AI10" s="35">
        <v>26</v>
      </c>
      <c r="AJ10" s="36">
        <v>22</v>
      </c>
      <c r="AK10" s="36">
        <v>22</v>
      </c>
      <c r="AL10" s="36">
        <v>22</v>
      </c>
      <c r="AM10" s="36">
        <v>18</v>
      </c>
      <c r="AN10" s="36">
        <v>18</v>
      </c>
      <c r="AO10" s="36">
        <v>18</v>
      </c>
      <c r="AP10" s="36">
        <v>18</v>
      </c>
      <c r="AQ10" s="36">
        <v>16</v>
      </c>
      <c r="AR10" s="36">
        <v>16</v>
      </c>
      <c r="AS10" s="36">
        <v>16</v>
      </c>
      <c r="AT10" s="36">
        <v>16</v>
      </c>
      <c r="AU10" s="36">
        <v>16</v>
      </c>
      <c r="AV10" s="36">
        <v>16</v>
      </c>
      <c r="AW10" s="36">
        <v>16</v>
      </c>
      <c r="AX10" s="36">
        <v>12</v>
      </c>
      <c r="AY10" s="36">
        <v>12</v>
      </c>
      <c r="AZ10" s="36">
        <v>12</v>
      </c>
      <c r="BA10" s="36">
        <v>10</v>
      </c>
    </row>
    <row r="11" spans="1:54" x14ac:dyDescent="0.2">
      <c r="A11" t="s">
        <v>24</v>
      </c>
      <c r="B11" s="36">
        <v>18</v>
      </c>
      <c r="C11" s="36">
        <v>18</v>
      </c>
      <c r="D11" s="36">
        <v>18</v>
      </c>
      <c r="E11" s="36">
        <v>18</v>
      </c>
      <c r="F11" s="36">
        <v>18</v>
      </c>
      <c r="G11" s="36">
        <v>18</v>
      </c>
      <c r="H11" s="36">
        <v>18</v>
      </c>
      <c r="I11" s="36">
        <v>18</v>
      </c>
      <c r="J11" s="36">
        <v>18</v>
      </c>
      <c r="K11" s="36">
        <v>18</v>
      </c>
      <c r="L11" s="36">
        <v>18</v>
      </c>
      <c r="M11" s="36">
        <v>18</v>
      </c>
      <c r="N11" s="36">
        <v>18</v>
      </c>
      <c r="O11" s="36">
        <v>18</v>
      </c>
      <c r="P11" s="36">
        <v>18</v>
      </c>
      <c r="Q11" s="36">
        <v>18</v>
      </c>
      <c r="R11" s="36">
        <v>18</v>
      </c>
      <c r="S11" s="36">
        <v>22</v>
      </c>
      <c r="T11" s="36">
        <v>22</v>
      </c>
      <c r="U11" s="36">
        <v>22</v>
      </c>
      <c r="V11" s="36">
        <v>22</v>
      </c>
      <c r="W11" s="36">
        <v>22</v>
      </c>
      <c r="X11" s="36">
        <v>24</v>
      </c>
      <c r="Y11" s="36">
        <v>24</v>
      </c>
      <c r="Z11" s="35">
        <v>28</v>
      </c>
      <c r="AA11" s="35">
        <v>28</v>
      </c>
      <c r="AB11" s="35">
        <v>32</v>
      </c>
      <c r="AC11" s="35">
        <v>32</v>
      </c>
      <c r="AD11" s="35">
        <v>32</v>
      </c>
      <c r="AE11" s="35">
        <v>32</v>
      </c>
      <c r="AF11" s="35">
        <v>28</v>
      </c>
      <c r="AG11" s="35">
        <v>28</v>
      </c>
      <c r="AH11" s="35">
        <v>28</v>
      </c>
      <c r="AI11" s="35">
        <v>28</v>
      </c>
      <c r="AJ11" s="36">
        <v>24</v>
      </c>
      <c r="AK11" s="36">
        <v>24</v>
      </c>
      <c r="AL11" s="36">
        <v>24</v>
      </c>
      <c r="AM11" s="36">
        <v>24</v>
      </c>
      <c r="AN11" s="36">
        <v>24</v>
      </c>
      <c r="AO11" s="36">
        <v>24</v>
      </c>
      <c r="AP11" s="36">
        <v>24</v>
      </c>
      <c r="AQ11" s="36">
        <v>24</v>
      </c>
      <c r="AR11" s="36">
        <v>24</v>
      </c>
      <c r="AS11" s="36">
        <v>24</v>
      </c>
      <c r="AT11" s="36">
        <v>22</v>
      </c>
      <c r="AU11" s="36">
        <v>22</v>
      </c>
      <c r="AV11" s="36">
        <v>22</v>
      </c>
      <c r="AW11" s="36">
        <v>22</v>
      </c>
      <c r="AX11" s="36">
        <v>22</v>
      </c>
      <c r="AY11" s="36">
        <v>22</v>
      </c>
      <c r="AZ11" s="36">
        <v>22</v>
      </c>
      <c r="BA11" s="36">
        <v>22</v>
      </c>
    </row>
    <row r="12" spans="1:54" x14ac:dyDescent="0.2">
      <c r="A12" t="s">
        <v>25</v>
      </c>
      <c r="B12" s="36">
        <v>14</v>
      </c>
      <c r="C12" s="36">
        <v>14</v>
      </c>
      <c r="D12" s="36">
        <v>14</v>
      </c>
      <c r="E12" s="36">
        <v>14</v>
      </c>
      <c r="F12" s="36">
        <v>14</v>
      </c>
      <c r="G12" s="36">
        <v>14</v>
      </c>
      <c r="H12" s="36">
        <v>14</v>
      </c>
      <c r="I12" s="36">
        <v>14</v>
      </c>
      <c r="J12" s="36">
        <v>14</v>
      </c>
      <c r="K12" s="36">
        <v>14</v>
      </c>
      <c r="L12" s="36">
        <v>14</v>
      </c>
      <c r="M12" s="36">
        <v>14</v>
      </c>
      <c r="N12" s="36">
        <v>14</v>
      </c>
      <c r="O12" s="36">
        <v>14</v>
      </c>
      <c r="P12" s="36">
        <v>14</v>
      </c>
      <c r="Q12" s="36">
        <v>14</v>
      </c>
      <c r="R12" s="36">
        <v>14</v>
      </c>
      <c r="S12" s="36">
        <v>14</v>
      </c>
      <c r="T12" s="36">
        <v>14</v>
      </c>
      <c r="U12" s="36">
        <v>14</v>
      </c>
      <c r="V12" s="36">
        <v>14</v>
      </c>
      <c r="W12" s="36">
        <v>14</v>
      </c>
      <c r="X12" s="36">
        <v>18</v>
      </c>
      <c r="Y12" s="36">
        <v>18</v>
      </c>
      <c r="Z12" s="36">
        <v>18</v>
      </c>
      <c r="AA12" s="36">
        <v>18</v>
      </c>
      <c r="AB12" s="36">
        <v>18</v>
      </c>
      <c r="AC12" s="36">
        <v>18</v>
      </c>
      <c r="AD12" s="36">
        <v>18</v>
      </c>
      <c r="AE12" s="36">
        <v>18</v>
      </c>
      <c r="AF12" s="36">
        <v>10</v>
      </c>
      <c r="AG12" s="36">
        <v>10</v>
      </c>
      <c r="AH12" s="36">
        <v>10</v>
      </c>
      <c r="AI12" s="36">
        <v>10</v>
      </c>
      <c r="AJ12" s="36">
        <v>10</v>
      </c>
      <c r="AK12" s="36">
        <v>10</v>
      </c>
      <c r="AL12" s="36">
        <v>10</v>
      </c>
      <c r="AM12" s="36">
        <v>10</v>
      </c>
      <c r="AN12" s="36">
        <v>10</v>
      </c>
      <c r="AO12" s="36">
        <v>10</v>
      </c>
      <c r="AP12" s="36">
        <v>10</v>
      </c>
      <c r="AQ12" s="36">
        <v>10</v>
      </c>
      <c r="AR12" s="36">
        <v>10</v>
      </c>
      <c r="AS12" s="36">
        <v>10</v>
      </c>
      <c r="AT12" s="36">
        <v>10</v>
      </c>
      <c r="AU12" s="36">
        <v>10</v>
      </c>
      <c r="AV12" s="36">
        <v>10</v>
      </c>
      <c r="AW12" s="36">
        <v>10</v>
      </c>
      <c r="AX12" s="36">
        <v>10</v>
      </c>
      <c r="AY12" s="36">
        <v>10</v>
      </c>
      <c r="AZ12" s="36">
        <v>10</v>
      </c>
      <c r="BA12" s="36">
        <v>10</v>
      </c>
    </row>
    <row r="13" spans="1:54" x14ac:dyDescent="0.2">
      <c r="A13" t="s">
        <v>26</v>
      </c>
      <c r="B13" s="36">
        <v>10</v>
      </c>
      <c r="C13" s="36">
        <v>10</v>
      </c>
      <c r="D13" s="36">
        <v>10</v>
      </c>
      <c r="E13" s="36">
        <v>10</v>
      </c>
      <c r="F13" s="36">
        <v>10</v>
      </c>
      <c r="G13" s="36">
        <v>10</v>
      </c>
      <c r="H13" s="36">
        <v>10</v>
      </c>
      <c r="I13" s="36">
        <v>10</v>
      </c>
      <c r="J13" s="36">
        <v>10</v>
      </c>
      <c r="K13" s="36">
        <v>10</v>
      </c>
      <c r="L13" s="36">
        <v>10</v>
      </c>
      <c r="M13" s="36">
        <v>10</v>
      </c>
      <c r="N13" s="36">
        <v>10</v>
      </c>
      <c r="O13" s="36">
        <v>10</v>
      </c>
      <c r="P13" s="36">
        <v>10</v>
      </c>
      <c r="Q13" s="36">
        <v>10</v>
      </c>
      <c r="R13" s="36">
        <v>10</v>
      </c>
      <c r="S13" s="36">
        <v>10</v>
      </c>
      <c r="T13" s="36">
        <v>10</v>
      </c>
      <c r="U13" s="36">
        <v>10</v>
      </c>
      <c r="V13" s="36">
        <v>10</v>
      </c>
      <c r="W13" s="36">
        <v>18</v>
      </c>
      <c r="X13" s="36">
        <v>18</v>
      </c>
      <c r="Y13" s="36">
        <v>18</v>
      </c>
      <c r="Z13" s="36">
        <v>18</v>
      </c>
      <c r="AA13" s="36">
        <v>18</v>
      </c>
      <c r="AB13" s="36">
        <v>24</v>
      </c>
      <c r="AC13" s="36">
        <v>24</v>
      </c>
      <c r="AD13" s="36">
        <v>24</v>
      </c>
      <c r="AE13" s="36">
        <v>24</v>
      </c>
      <c r="AF13" s="36">
        <v>24</v>
      </c>
      <c r="AG13" s="35">
        <v>30</v>
      </c>
      <c r="AH13" s="35">
        <v>30</v>
      </c>
      <c r="AI13" s="35">
        <v>30</v>
      </c>
      <c r="AJ13" s="35">
        <v>30</v>
      </c>
      <c r="AK13" s="35">
        <v>30</v>
      </c>
      <c r="AL13" s="35">
        <v>30</v>
      </c>
      <c r="AM13" s="36">
        <v>24</v>
      </c>
      <c r="AN13" s="36">
        <v>24</v>
      </c>
      <c r="AO13" s="36">
        <v>24</v>
      </c>
      <c r="AP13" s="36">
        <v>24</v>
      </c>
      <c r="AQ13" s="36">
        <v>16</v>
      </c>
      <c r="AR13" s="36">
        <v>16</v>
      </c>
      <c r="AS13" s="36">
        <v>16</v>
      </c>
      <c r="AT13" s="36">
        <v>16</v>
      </c>
      <c r="AU13" s="36">
        <v>16</v>
      </c>
      <c r="AV13" s="36">
        <v>16</v>
      </c>
      <c r="AW13" s="36">
        <v>16</v>
      </c>
      <c r="AX13" s="36">
        <v>10</v>
      </c>
      <c r="AY13" s="36">
        <v>10</v>
      </c>
      <c r="AZ13" s="36">
        <v>10</v>
      </c>
      <c r="BA13" s="36">
        <v>10</v>
      </c>
    </row>
    <row r="14" spans="1:54" x14ac:dyDescent="0.2">
      <c r="A14" t="s">
        <v>76</v>
      </c>
      <c r="B14" s="36">
        <v>14</v>
      </c>
      <c r="C14" s="36">
        <v>14</v>
      </c>
      <c r="D14" s="36">
        <v>14</v>
      </c>
      <c r="E14" s="36">
        <v>14</v>
      </c>
      <c r="F14" s="36">
        <v>14</v>
      </c>
      <c r="G14" s="36">
        <v>14</v>
      </c>
      <c r="H14" s="36">
        <v>14</v>
      </c>
      <c r="I14" s="36">
        <v>14</v>
      </c>
      <c r="J14" s="36">
        <v>14</v>
      </c>
      <c r="K14" s="36">
        <v>14</v>
      </c>
      <c r="L14" s="36">
        <v>14</v>
      </c>
      <c r="M14" s="36">
        <v>14</v>
      </c>
      <c r="N14" s="36">
        <v>14</v>
      </c>
      <c r="O14" s="36">
        <v>14</v>
      </c>
      <c r="P14" s="36">
        <v>14</v>
      </c>
      <c r="Q14" s="36">
        <v>14</v>
      </c>
      <c r="R14" s="36">
        <v>14</v>
      </c>
      <c r="S14" s="36">
        <v>20</v>
      </c>
      <c r="T14" s="36">
        <v>20</v>
      </c>
      <c r="U14" s="36">
        <v>20</v>
      </c>
      <c r="V14" s="36">
        <v>20</v>
      </c>
      <c r="W14" s="36">
        <v>20</v>
      </c>
      <c r="X14" s="36">
        <v>20</v>
      </c>
      <c r="Y14" s="36">
        <v>20</v>
      </c>
      <c r="Z14" s="36">
        <v>24</v>
      </c>
      <c r="AA14" s="36">
        <v>24</v>
      </c>
      <c r="AB14" s="35">
        <v>28</v>
      </c>
      <c r="AC14" s="35">
        <v>28</v>
      </c>
      <c r="AD14" s="35">
        <v>28</v>
      </c>
      <c r="AE14" s="35">
        <v>28</v>
      </c>
      <c r="AF14" s="36">
        <v>22</v>
      </c>
      <c r="AG14" s="36">
        <v>22</v>
      </c>
      <c r="AH14" s="36">
        <v>22</v>
      </c>
      <c r="AI14" s="36">
        <v>22</v>
      </c>
      <c r="AJ14" s="36">
        <v>16</v>
      </c>
      <c r="AK14" s="36">
        <v>16</v>
      </c>
      <c r="AL14" s="36">
        <v>16</v>
      </c>
      <c r="AM14" s="36">
        <v>16</v>
      </c>
      <c r="AN14" s="36">
        <v>16</v>
      </c>
      <c r="AO14" s="36">
        <v>16</v>
      </c>
      <c r="AP14" s="36">
        <v>16</v>
      </c>
      <c r="AQ14" s="36">
        <v>16</v>
      </c>
      <c r="AR14" s="36">
        <v>16</v>
      </c>
      <c r="AS14" s="36">
        <v>16</v>
      </c>
      <c r="AT14" s="36">
        <v>14</v>
      </c>
      <c r="AU14" s="36">
        <v>14</v>
      </c>
      <c r="AV14" s="36">
        <v>14</v>
      </c>
      <c r="AW14" s="36">
        <v>14</v>
      </c>
      <c r="AX14" s="36">
        <v>14</v>
      </c>
      <c r="AY14" s="36">
        <v>14</v>
      </c>
      <c r="AZ14" s="36">
        <v>14</v>
      </c>
      <c r="BA14" s="36">
        <v>14</v>
      </c>
    </row>
    <row r="15" spans="1:54" x14ac:dyDescent="0.2">
      <c r="A15" t="s">
        <v>81</v>
      </c>
      <c r="B15" s="36">
        <v>0</v>
      </c>
      <c r="C15" s="36">
        <v>0</v>
      </c>
      <c r="D15" s="36">
        <v>0</v>
      </c>
      <c r="E15" s="36">
        <v>0</v>
      </c>
      <c r="F15" s="36">
        <v>0</v>
      </c>
      <c r="G15" s="36">
        <v>0</v>
      </c>
      <c r="H15" s="36">
        <v>0</v>
      </c>
      <c r="I15" s="36">
        <v>0</v>
      </c>
      <c r="J15" s="36">
        <v>0</v>
      </c>
      <c r="K15" s="36">
        <v>0</v>
      </c>
      <c r="L15" s="36">
        <v>0</v>
      </c>
      <c r="M15" s="36">
        <v>0</v>
      </c>
      <c r="N15" s="36">
        <v>0</v>
      </c>
      <c r="O15" s="36">
        <v>0</v>
      </c>
      <c r="P15" s="36">
        <v>0</v>
      </c>
      <c r="Q15" s="36">
        <v>0</v>
      </c>
      <c r="R15" s="36">
        <v>0</v>
      </c>
      <c r="S15" s="36">
        <v>0</v>
      </c>
      <c r="T15" s="36">
        <v>0</v>
      </c>
      <c r="U15" s="36">
        <v>0</v>
      </c>
      <c r="V15" s="36">
        <v>0</v>
      </c>
      <c r="W15" s="36">
        <v>0</v>
      </c>
      <c r="X15" s="36">
        <v>0</v>
      </c>
      <c r="Y15" s="36">
        <v>0</v>
      </c>
      <c r="Z15" s="36">
        <v>8</v>
      </c>
      <c r="AA15" s="36">
        <v>8</v>
      </c>
      <c r="AB15" s="36">
        <v>14</v>
      </c>
      <c r="AC15" s="36">
        <v>14</v>
      </c>
      <c r="AD15" s="36">
        <v>14</v>
      </c>
      <c r="AE15" s="36">
        <v>14</v>
      </c>
      <c r="AF15" s="36">
        <v>14</v>
      </c>
      <c r="AG15" s="36">
        <v>14</v>
      </c>
      <c r="AH15" s="36">
        <v>14</v>
      </c>
      <c r="AI15" s="36">
        <v>20</v>
      </c>
      <c r="AJ15" s="36">
        <v>20</v>
      </c>
      <c r="AK15" s="36">
        <v>20</v>
      </c>
      <c r="AL15" s="36">
        <v>20</v>
      </c>
      <c r="AM15" s="36">
        <v>20</v>
      </c>
      <c r="AN15" s="36">
        <v>20</v>
      </c>
      <c r="AO15" s="36">
        <v>20</v>
      </c>
      <c r="AP15" s="36">
        <v>20</v>
      </c>
      <c r="AQ15" s="36">
        <v>20</v>
      </c>
      <c r="AR15" s="36">
        <v>20</v>
      </c>
      <c r="AS15" s="36">
        <v>20</v>
      </c>
      <c r="AT15" s="36">
        <v>14</v>
      </c>
      <c r="AU15" s="36">
        <v>14</v>
      </c>
      <c r="AV15" s="36">
        <v>14</v>
      </c>
      <c r="AW15" s="36">
        <v>14</v>
      </c>
      <c r="AX15" s="36">
        <v>14</v>
      </c>
      <c r="AY15" s="36">
        <v>14</v>
      </c>
      <c r="AZ15" s="36">
        <v>14</v>
      </c>
      <c r="BA15" s="36">
        <v>8</v>
      </c>
    </row>
    <row r="17" spans="1:54" x14ac:dyDescent="0.2">
      <c r="A17" s="18" t="s">
        <v>5</v>
      </c>
      <c r="B17" s="35">
        <f>SUM(B6:B15)</f>
        <v>95</v>
      </c>
      <c r="C17" s="35">
        <f>SUM(C6:C15)</f>
        <v>95</v>
      </c>
      <c r="D17" s="35">
        <f>SUM(D6:D15)</f>
        <v>95</v>
      </c>
      <c r="E17" s="35">
        <f>SUM(E6:E15)</f>
        <v>95</v>
      </c>
      <c r="F17" s="35">
        <f>SUM(F6:F15)</f>
        <v>95</v>
      </c>
      <c r="G17" s="35">
        <f>SUM(G6:G15)</f>
        <v>95</v>
      </c>
      <c r="H17" s="35">
        <f>SUM(H6:H15)</f>
        <v>95</v>
      </c>
      <c r="I17" s="35">
        <f>SUM(I6:I15)</f>
        <v>95</v>
      </c>
      <c r="J17" s="35">
        <f>SUM(J6:J15)</f>
        <v>95</v>
      </c>
      <c r="K17" s="35">
        <f>SUM(K6:K15)</f>
        <v>95</v>
      </c>
      <c r="L17" s="35">
        <f>SUM(L6:L15)</f>
        <v>103</v>
      </c>
      <c r="M17" s="35">
        <f>SUM(M6:M15)</f>
        <v>103</v>
      </c>
      <c r="N17" s="35">
        <f>SUM(N6:N15)</f>
        <v>103</v>
      </c>
      <c r="O17" s="35">
        <f>SUM(O6:O15)</f>
        <v>103</v>
      </c>
      <c r="P17" s="35">
        <f>SUM(P6:P15)</f>
        <v>108</v>
      </c>
      <c r="Q17" s="35">
        <f>SUM(Q6:Q15)</f>
        <v>108</v>
      </c>
      <c r="R17" s="35">
        <f>SUM(R6:R15)</f>
        <v>113</v>
      </c>
      <c r="S17" s="35">
        <f>SUM(S6:S15)</f>
        <v>134</v>
      </c>
      <c r="T17" s="35">
        <f>SUM(T6:T15)</f>
        <v>152</v>
      </c>
      <c r="U17" s="35">
        <f>SUM(U6:U15)</f>
        <v>152</v>
      </c>
      <c r="V17" s="35">
        <f>SUM(V6:V15)</f>
        <v>152</v>
      </c>
      <c r="W17" s="35">
        <f>SUM(W6:W15)</f>
        <v>178</v>
      </c>
      <c r="X17" s="35">
        <f>SUM(X6:X15)</f>
        <v>188</v>
      </c>
      <c r="Y17" s="35">
        <f>SUM(Y6:Y15)</f>
        <v>188</v>
      </c>
      <c r="Z17" s="35">
        <f>SUM(Z6:Z15)</f>
        <v>213</v>
      </c>
      <c r="AA17" s="35">
        <f>SUM(AA6:AA15)</f>
        <v>213</v>
      </c>
      <c r="AB17" s="35">
        <f>SUM(AB6:AB15)</f>
        <v>284</v>
      </c>
      <c r="AC17" s="35">
        <f>SUM(AC6:AC15)</f>
        <v>284</v>
      </c>
      <c r="AD17" s="35">
        <f>SUM(AD6:AD15)</f>
        <v>284</v>
      </c>
      <c r="AE17" s="35">
        <f>SUM(AE6:AE15)</f>
        <v>284</v>
      </c>
      <c r="AF17" s="35">
        <f>SUM(AF6:AF15)</f>
        <v>236</v>
      </c>
      <c r="AG17" s="35">
        <f>SUM(AG6:AG15)</f>
        <v>255</v>
      </c>
      <c r="AH17" s="35">
        <f>SUM(AH6:AH15)</f>
        <v>255</v>
      </c>
      <c r="AI17" s="35">
        <f>SUM(AI6:AI15)</f>
        <v>264</v>
      </c>
      <c r="AJ17" s="35">
        <f>SUM(AJ6:AJ15)</f>
        <v>225</v>
      </c>
      <c r="AK17" s="35">
        <f>SUM(AK6:AK15)</f>
        <v>216</v>
      </c>
      <c r="AL17" s="35">
        <f>SUM(AL6:AL15)</f>
        <v>216</v>
      </c>
      <c r="AM17" s="35">
        <f>SUM(AM6:AM15)</f>
        <v>201</v>
      </c>
      <c r="AN17" s="35">
        <f>SUM(AN6:AN15)</f>
        <v>187</v>
      </c>
      <c r="AO17" s="35">
        <f>SUM(AO6:AO15)</f>
        <v>175</v>
      </c>
      <c r="AP17" s="35">
        <f>SUM(AP6:AP15)</f>
        <v>175</v>
      </c>
      <c r="AQ17" s="35">
        <f>SUM(AQ6:AQ15)</f>
        <v>163</v>
      </c>
      <c r="AR17" s="35">
        <f>SUM(AR6:AR15)</f>
        <v>168</v>
      </c>
      <c r="AS17" s="35">
        <f>SUM(AS6:AS15)</f>
        <v>168</v>
      </c>
      <c r="AT17" s="35">
        <f>SUM(AT6:AT15)</f>
        <v>157</v>
      </c>
      <c r="AU17" s="35">
        <f>SUM(AU6:AU15)</f>
        <v>157</v>
      </c>
      <c r="AV17" s="35">
        <f>SUM(AV6:AV15)</f>
        <v>152</v>
      </c>
      <c r="AW17" s="35">
        <f>SUM(AW6:AW15)</f>
        <v>152</v>
      </c>
      <c r="AX17" s="35">
        <f>SUM(AX6:AX15)</f>
        <v>136</v>
      </c>
      <c r="AY17" s="35">
        <f>SUM(AY6:AY15)</f>
        <v>136</v>
      </c>
      <c r="AZ17" s="35">
        <f>SUM(AZ6:AZ15)</f>
        <v>136</v>
      </c>
      <c r="BA17" s="35">
        <f>SUM(BA6:BA15)</f>
        <v>127</v>
      </c>
      <c r="BB17" s="35">
        <f>SUM(BB6:BB15)</f>
        <v>0</v>
      </c>
    </row>
  </sheetData>
  <mergeCells count="5">
    <mergeCell ref="A1:BB2"/>
    <mergeCell ref="B3:N3"/>
    <mergeCell ref="O3:AA3"/>
    <mergeCell ref="AB3:AN3"/>
    <mergeCell ref="AO3:BA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Projects</vt:lpstr>
      <vt:lpstr>LOE</vt:lpstr>
      <vt:lpstr>Inputs</vt:lpstr>
      <vt:lpstr>Year View</vt:lpstr>
      <vt:lpstr>Team View</vt:lpstr>
      <vt:lpstr>firstMondayOfTheYear</vt:lpstr>
      <vt:lpstr>fullCapacity</vt:lpstr>
      <vt:lpstr>lowCapacity</vt:lpstr>
      <vt:lpstr>midCapacity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Nha Do</cp:lastModifiedBy>
  <dcterms:created xsi:type="dcterms:W3CDTF">2021-08-21T02:54:17Z</dcterms:created>
  <dcterms:modified xsi:type="dcterms:W3CDTF">2022-08-01T14:02:43Z</dcterms:modified>
</cp:coreProperties>
</file>